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PM_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<sst xmlns="http://schemas.openxmlformats.org/spreadsheetml/2006/main" count="21" uniqueCount="21">
  <si>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TPM_06: Clash detection response time</t>
  </si>
  <si>
    <t xml:space="preserve">Time from the impact (first 500 Hz sample over the clash trigger) to the clash sound reaching the amplifier, logged by the firmware (TIMING_TEST = 6).</t>
  </si>
  <si>
    <t xml:space="preserve">Legend: yellow = measured values (Serial Monitor) | other cells calculate automatically.</t>
  </si>
  <si>
    <t xml:space="preserve">Target (ms)</t>
  </si>
  <si>
    <t xml:space="preserve">Date tested</t>
  </si>
  <si>
    <t xml:space="preserve">2026-10-11</t>
  </si>
  <si>
    <t xml:space="preserve">Clash</t>
  </si>
  <si>
    <t xml:space="preserve">Impact -&gt; detected (ms)</t>
  </si>
  <si>
    <t xml:space="preserve">Detected -&gt; sound written (ms)</t>
  </si>
  <si>
    <t xml:space="preserve">I2S buffer (ms)</t>
  </si>
  <si>
    <t xml:space="preserve">Impact -&gt; speaker (ms)</t>
  </si>
  <si>
    <t xml:space="preserve">|a| jump (g)</t>
  </si>
  <si>
    <t xml:space="preserve">Met (&lt;= target)</t>
  </si>
  <si>
    <t xml:space="preserve">Summary (copy into Table H9)</t>
  </si>
  <si>
    <t xml:space="preserve">Clashes</t>
  </si>
  <si>
    <t xml:space="preserve">Mean (ms)</t>
  </si>
  <si>
    <t xml:space="preserve">Min (ms)</t>
  </si>
  <si>
    <t xml:space="preserve">Max (ms)</t>
  </si>
  <si>
    <t xml:space="preserve">Standard deviation (ms)</t>
  </si>
  <si>
    <t xml:space="preserve">Clashes meeting target</t>
  </si>
  <si>
    <t xml:space="preserve">Met (all &lt;= target)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</si>
</sst>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666666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ECE1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n">
        <v>100</v>
      </c>
    </row>
    <row r="6" customFormat="false" ht="15" hidden="false" customHeight="false" outlineLevel="0" collapsed="false">
      <c r="A6" s="4" t="s">
        <v>4</v>
      </c>
      <c r="B6" s="6" t="s">
        <v>5</v>
      </c>
    </row>
    <row r="8" customFormat="false" ht="42" hidden="false" customHeight="true" outlineLevel="0" collapsed="false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 customFormat="false" ht="15" hidden="false" customHeight="false" outlineLevel="0" collapsed="false">
      <c r="A9" s="6" t="n">
        <v>1</v>
      </c>
      <c r="B9" s="8" t="n">
        <v>4</v>
      </c>
      <c r="C9" s="8" t="n">
        <v>0.2</v>
      </c>
      <c r="D9" s="8" t="n">
        <v>81.3</v>
      </c>
      <c r="E9" s="9" t="n">
        <f aca="false">B9+C9+D9</f>
        <v>85.5</v>
      </c>
      <c r="F9" s="8" t="n">
        <v>1.9</v>
      </c>
      <c r="G9" s="6" t="str">
        <f aca="false">IF(E9&lt;=$B$5,"Yes","No")</f>
        <v>Yes</v>
      </c>
    </row>
    <row r="10" customFormat="false" ht="15" hidden="false" customHeight="false" outlineLevel="0" collapsed="false">
      <c r="A10" s="6" t="n">
        <v>2</v>
      </c>
      <c r="B10" s="8" t="n">
        <v>6</v>
      </c>
      <c r="C10" s="8" t="n">
        <v>0.3</v>
      </c>
      <c r="D10" s="8" t="n">
        <v>81.3</v>
      </c>
      <c r="E10" s="9" t="n">
        <f aca="false">B10+C10+D10</f>
        <v>87.6</v>
      </c>
      <c r="F10" s="8" t="n">
        <v>1.2</v>
      </c>
      <c r="G10" s="6" t="str">
        <f aca="false">IF(E10&lt;=$B$5,"Yes","No")</f>
        <v>Yes</v>
      </c>
    </row>
    <row r="11" customFormat="false" ht="15" hidden="false" customHeight="false" outlineLevel="0" collapsed="false">
      <c r="A11" s="6" t="n">
        <v>3</v>
      </c>
      <c r="B11" s="8" t="n">
        <v>18</v>
      </c>
      <c r="C11" s="8" t="n">
        <v>0.3</v>
      </c>
      <c r="D11" s="8" t="n">
        <v>81.3</v>
      </c>
      <c r="E11" s="9" t="n">
        <f aca="false">B11+C11+D11</f>
        <v>99.6</v>
      </c>
      <c r="F11" s="8" t="n">
        <v>1.3</v>
      </c>
      <c r="G11" s="6" t="str">
        <f aca="false">IF(E11&lt;=$B$5,"Yes","No")</f>
        <v>Yes</v>
      </c>
    </row>
    <row r="12" customFormat="false" ht="15" hidden="false" customHeight="false" outlineLevel="0" collapsed="false">
      <c r="A12" s="6" t="n">
        <v>4</v>
      </c>
      <c r="B12" s="8" t="n">
        <v>14</v>
      </c>
      <c r="C12" s="8" t="n">
        <v>0.2</v>
      </c>
      <c r="D12" s="8" t="n">
        <v>69.7</v>
      </c>
      <c r="E12" s="9" t="n">
        <f aca="false">B12+C12+D12</f>
        <v>83.9</v>
      </c>
      <c r="F12" s="8" t="n">
        <v>3.6</v>
      </c>
      <c r="G12" s="6" t="str">
        <f aca="false">IF(E12&lt;=$B$5,"Yes","No")</f>
        <v>Yes</v>
      </c>
    </row>
    <row r="13" customFormat="false" ht="15" hidden="false" customHeight="false" outlineLevel="0" collapsed="false">
      <c r="A13" s="6" t="n">
        <v>5</v>
      </c>
      <c r="B13" s="8" t="n">
        <v>4</v>
      </c>
      <c r="C13" s="8" t="n">
        <v>0.2</v>
      </c>
      <c r="D13" s="8" t="n">
        <v>81.3</v>
      </c>
      <c r="E13" s="9" t="n">
        <f aca="false">B13+C13+D13</f>
        <v>85.5</v>
      </c>
      <c r="F13" s="8" t="n">
        <v>1.9</v>
      </c>
      <c r="G13" s="6" t="str">
        <f aca="false">IF(E13&lt;=$B$5,"Yes","No")</f>
        <v>Yes</v>
      </c>
    </row>
    <row r="14" customFormat="false" ht="15" hidden="false" customHeight="false" outlineLevel="0" collapsed="false">
      <c r="A14" s="6" t="n">
        <v>6</v>
      </c>
      <c r="B14" s="8" t="n">
        <v>4</v>
      </c>
      <c r="C14" s="8" t="n">
        <v>0.3</v>
      </c>
      <c r="D14" s="8" t="n">
        <v>69.7</v>
      </c>
      <c r="E14" s="9" t="n">
        <f aca="false">B14+C14+D14</f>
        <v>74</v>
      </c>
      <c r="F14" s="8" t="n">
        <v>4.8</v>
      </c>
      <c r="G14" s="6" t="str">
        <f aca="false">IF(E14&lt;=$B$5,"Yes","No")</f>
        <v>Yes</v>
      </c>
    </row>
    <row r="15" customFormat="false" ht="15" hidden="false" customHeight="false" outlineLevel="0" collapsed="false">
      <c r="A15" s="6" t="n">
        <v>7</v>
      </c>
      <c r="B15" s="8" t="n">
        <v>28</v>
      </c>
      <c r="C15" s="8" t="n">
        <v>0.3</v>
      </c>
      <c r="D15" s="8" t="n">
        <v>69.7</v>
      </c>
      <c r="E15" s="9" t="n">
        <f aca="false">B15+C15+D15</f>
        <v>98</v>
      </c>
      <c r="F15" s="8" t="n">
        <v>3.6</v>
      </c>
      <c r="G15" s="6" t="str">
        <f aca="false">IF(E15&lt;=$B$5,"Yes","No")</f>
        <v>Yes</v>
      </c>
    </row>
    <row r="16" customFormat="false" ht="15" hidden="false" customHeight="false" outlineLevel="0" collapsed="false">
      <c r="A16" s="6" t="n">
        <v>8</v>
      </c>
      <c r="B16" s="8" t="n">
        <v>4</v>
      </c>
      <c r="C16" s="8" t="n">
        <v>0.3</v>
      </c>
      <c r="D16" s="8" t="n">
        <v>92.9</v>
      </c>
      <c r="E16" s="9" t="n">
        <f aca="false">B16+C16+D16</f>
        <v>97.2</v>
      </c>
      <c r="F16" s="8" t="n">
        <v>3</v>
      </c>
      <c r="G16" s="6" t="str">
        <f aca="false">IF(E16&lt;=$B$5,"Yes","No")</f>
        <v>Yes</v>
      </c>
    </row>
    <row r="17" customFormat="false" ht="15" hidden="false" customHeight="false" outlineLevel="0" collapsed="false">
      <c r="A17" s="6" t="n">
        <v>9</v>
      </c>
      <c r="B17" s="8" t="n">
        <v>0</v>
      </c>
      <c r="C17" s="8" t="n">
        <v>0.3</v>
      </c>
      <c r="D17" s="8" t="n">
        <v>81.3</v>
      </c>
      <c r="E17" s="9" t="n">
        <f aca="false">B17+C17+D17</f>
        <v>81.6</v>
      </c>
      <c r="F17" s="8" t="n">
        <v>2.5</v>
      </c>
      <c r="G17" s="6" t="str">
        <f aca="false">IF(E17&lt;=$B$5,"Yes","No")</f>
        <v>Yes</v>
      </c>
    </row>
    <row r="18" customFormat="false" ht="15" hidden="false" customHeight="false" outlineLevel="0" collapsed="false">
      <c r="A18" s="6" t="n">
        <v>10</v>
      </c>
      <c r="B18" s="8" t="n">
        <v>20</v>
      </c>
      <c r="C18" s="8" t="n">
        <v>0.3</v>
      </c>
      <c r="D18" s="8" t="n">
        <v>92.9</v>
      </c>
      <c r="E18" s="9" t="n">
        <f aca="false">B18+C18+D18</f>
        <v>113.2</v>
      </c>
      <c r="F18" s="8" t="n">
        <v>3.4</v>
      </c>
      <c r="G18" s="6" t="str">
        <f aca="false">IF(E18&lt;=$B$5,"Yes","No")</f>
        <v>No</v>
      </c>
    </row>
    <row r="19" customFormat="false" ht="15" hidden="false" customHeight="false" outlineLevel="0" collapsed="false">
      <c r="A19" s="6" t="n">
        <v>11</v>
      </c>
      <c r="B19" s="8" t="n">
        <v>4</v>
      </c>
      <c r="C19" s="8" t="n">
        <v>0.3</v>
      </c>
      <c r="D19" s="8" t="n">
        <v>81.3</v>
      </c>
      <c r="E19" s="9" t="n">
        <f aca="false">B19+C19+D19</f>
        <v>85.6</v>
      </c>
      <c r="F19" s="8" t="n">
        <v>5.1</v>
      </c>
      <c r="G19" s="6" t="str">
        <f aca="false">IF(E19&lt;=$B$5,"Yes","No")</f>
        <v>Yes</v>
      </c>
    </row>
    <row r="20" customFormat="false" ht="15" hidden="false" customHeight="false" outlineLevel="0" collapsed="false">
      <c r="A20" s="6" t="n">
        <v>12</v>
      </c>
      <c r="B20" s="8" t="n">
        <v>8</v>
      </c>
      <c r="C20" s="8" t="n">
        <v>0.3</v>
      </c>
      <c r="D20" s="8" t="n">
        <v>81.3</v>
      </c>
      <c r="E20" s="9" t="n">
        <f aca="false">B20+C20+D20</f>
        <v>89.6</v>
      </c>
      <c r="F20" s="8" t="n">
        <v>3.9</v>
      </c>
      <c r="G20" s="6" t="str">
        <f aca="false">IF(E20&lt;=$B$5,"Yes","No")</f>
        <v>Yes</v>
      </c>
    </row>
    <row r="21" customFormat="false" ht="15" hidden="false" customHeight="false" outlineLevel="0" collapsed="false">
      <c r="A21" s="6" t="n">
        <v>13</v>
      </c>
      <c r="B21" s="8" t="n">
        <v>0</v>
      </c>
      <c r="C21" s="8" t="n">
        <v>0.2</v>
      </c>
      <c r="D21" s="8" t="n">
        <v>92.9</v>
      </c>
      <c r="E21" s="9" t="n">
        <f aca="false">B21+C21+D21</f>
        <v>93.1</v>
      </c>
      <c r="F21" s="8" t="n">
        <v>1.3</v>
      </c>
      <c r="G21" s="6" t="str">
        <f aca="false">IF(E21&lt;=$B$5,"Yes","No")</f>
        <v>Yes</v>
      </c>
    </row>
    <row r="22" customFormat="false" ht="15" hidden="false" customHeight="false" outlineLevel="0" collapsed="false">
      <c r="A22" s="6" t="n">
        <v>14</v>
      </c>
      <c r="B22" s="8" t="n">
        <v>6</v>
      </c>
      <c r="C22" s="8" t="n">
        <v>0.2</v>
      </c>
      <c r="D22" s="8" t="n">
        <v>92.9</v>
      </c>
      <c r="E22" s="9" t="n">
        <f aca="false">B22+C22+D22</f>
        <v>99.1</v>
      </c>
      <c r="F22" s="8" t="n">
        <v>2.5</v>
      </c>
      <c r="G22" s="6" t="str">
        <f aca="false">IF(E22&lt;=$B$5,"Yes","No")</f>
        <v>Yes</v>
      </c>
    </row>
    <row r="23" customFormat="false" ht="15" hidden="false" customHeight="false" outlineLevel="0" collapsed="false">
      <c r="A23" s="6" t="n">
        <v>15</v>
      </c>
      <c r="B23" s="8" t="n">
        <v>10</v>
      </c>
      <c r="C23" s="8" t="n">
        <v>0.3</v>
      </c>
      <c r="D23" s="8" t="n">
        <v>81.3</v>
      </c>
      <c r="E23" s="9" t="n">
        <f aca="false">B23+C23+D23</f>
        <v>91.6</v>
      </c>
      <c r="F23" s="8" t="n">
        <v>2</v>
      </c>
      <c r="G23" s="6" t="str">
        <f aca="false">IF(E23&lt;=$B$5,"Yes","No")</f>
        <v>Yes</v>
      </c>
    </row>
    <row r="24" customFormat="false" ht="15" hidden="false" customHeight="false" outlineLevel="0" collapsed="false">
      <c r="A24" s="6" t="n">
        <v>16</v>
      </c>
      <c r="B24" s="8" t="n">
        <v>2</v>
      </c>
      <c r="C24" s="8" t="n">
        <v>0.3</v>
      </c>
      <c r="D24" s="8" t="n">
        <v>92.9</v>
      </c>
      <c r="E24" s="9" t="n">
        <f aca="false">B24+C24+D24</f>
        <v>95.2</v>
      </c>
      <c r="F24" s="8" t="n">
        <v>2.3</v>
      </c>
      <c r="G24" s="6" t="str">
        <f aca="false">IF(E24&lt;=$B$5,"Yes","No")</f>
        <v>Yes</v>
      </c>
    </row>
    <row r="25" customFormat="false" ht="15" hidden="false" customHeight="false" outlineLevel="0" collapsed="false">
      <c r="A25" s="6" t="n">
        <v>17</v>
      </c>
      <c r="B25" s="8" t="n">
        <v>20</v>
      </c>
      <c r="C25" s="8" t="n">
        <v>0.2</v>
      </c>
      <c r="D25" s="8" t="n">
        <v>81.3</v>
      </c>
      <c r="E25" s="9" t="n">
        <f aca="false">B25+C25+D25</f>
        <v>101.5</v>
      </c>
      <c r="F25" s="8" t="n">
        <v>1.8</v>
      </c>
      <c r="G25" s="6" t="str">
        <f aca="false">IF(E25&lt;=$B$5,"Yes","No")</f>
        <v>No</v>
      </c>
    </row>
    <row r="26" customFormat="false" ht="15" hidden="false" customHeight="false" outlineLevel="0" collapsed="false">
      <c r="A26" s="6" t="n">
        <v>18</v>
      </c>
      <c r="B26" s="8" t="n">
        <v>12</v>
      </c>
      <c r="C26" s="8" t="n">
        <v>0.3</v>
      </c>
      <c r="D26" s="8" t="n">
        <v>81.3</v>
      </c>
      <c r="E26" s="9" t="n">
        <f aca="false">B26+C26+D26</f>
        <v>93.6</v>
      </c>
      <c r="F26" s="8" t="n">
        <v>2.4</v>
      </c>
      <c r="G26" s="6" t="str">
        <f aca="false">IF(E26&lt;=$B$5,"Yes","No")</f>
        <v>Yes</v>
      </c>
    </row>
    <row r="27" customFormat="false" ht="15" hidden="false" customHeight="false" outlineLevel="0" collapsed="false">
      <c r="A27" s="6" t="n">
        <v>19</v>
      </c>
      <c r="B27" s="8" t="n">
        <v>10</v>
      </c>
      <c r="C27" s="8" t="n">
        <v>0.2</v>
      </c>
      <c r="D27" s="8" t="n">
        <v>81.3</v>
      </c>
      <c r="E27" s="9" t="n">
        <f aca="false">B27+C27+D27</f>
        <v>91.5</v>
      </c>
      <c r="F27" s="8" t="n">
        <v>4.7</v>
      </c>
      <c r="G27" s="6" t="str">
        <f aca="false">IF(E27&lt;=$B$5,"Yes","No")</f>
        <v>Yes</v>
      </c>
    </row>
    <row r="28" customFormat="false" ht="15" hidden="false" customHeight="false" outlineLevel="0" collapsed="false">
      <c r="A28" s="6" t="n">
        <v>20</v>
      </c>
      <c r="B28" s="8" t="n">
        <v>16</v>
      </c>
      <c r="C28" s="8" t="n">
        <v>0.3</v>
      </c>
      <c r="D28" s="8" t="n">
        <v>81.3</v>
      </c>
      <c r="E28" s="9" t="n">
        <f aca="false">B28+C28+D28</f>
        <v>97.6</v>
      </c>
      <c r="F28" s="8" t="n">
        <v>3.6</v>
      </c>
      <c r="G28" s="6" t="str">
        <f aca="false">IF(E28&lt;=$B$5,"Yes","No")</f>
        <v>Yes</v>
      </c>
    </row>
    <row r="30" customFormat="false" ht="15" hidden="false" customHeight="false" outlineLevel="0" collapsed="false">
      <c r="A30" s="10" t="s">
        <v>13</v>
      </c>
    </row>
    <row r="31" customFormat="false" ht="15" hidden="false" customHeight="false" outlineLevel="0" collapsed="false">
      <c r="A31" s="4" t="s">
        <v>14</v>
      </c>
      <c r="B31" s="11" t="n">
        <f aca="false">COUNT(E9:E28)</f>
        <v>20</v>
      </c>
    </row>
    <row r="32" customFormat="false" ht="15" hidden="false" customHeight="false" outlineLevel="0" collapsed="false">
      <c r="A32" s="4" t="s">
        <v>15</v>
      </c>
      <c r="B32" s="9" t="n">
        <f aca="false">AVERAGE(E9:E28)</f>
        <v>92.225</v>
      </c>
    </row>
    <row r="33" customFormat="false" ht="15" hidden="false" customHeight="false" outlineLevel="0" collapsed="false">
      <c r="A33" s="4" t="s">
        <v>16</v>
      </c>
      <c r="B33" s="9" t="n">
        <f aca="false">MIN(E9:E28)</f>
        <v>74</v>
      </c>
    </row>
    <row r="34" customFormat="false" ht="15" hidden="false" customHeight="false" outlineLevel="0" collapsed="false">
      <c r="A34" s="4" t="s">
        <v>17</v>
      </c>
      <c r="B34" s="9" t="n">
        <f aca="false">MAX(E9:E28)</f>
        <v>113.2</v>
      </c>
    </row>
    <row r="35" customFormat="false" ht="15" hidden="false" customHeight="false" outlineLevel="0" collapsed="false">
      <c r="A35" s="4" t="s">
        <v>18</v>
      </c>
      <c r="B35" s="9" t="n">
        <f aca="false">STDEV(E9:E28)</f>
        <v>8.59625836598324</v>
      </c>
    </row>
    <row r="36" customFormat="false" ht="15" hidden="false" customHeight="false" outlineLevel="0" collapsed="false">
      <c r="A36" s="4" t="s">
        <v>19</v>
      </c>
      <c r="B36" s="6" t="str">
        <f aca="false">COUNTIF(G9:G28,"Yes")&amp;" / "&amp;COUNT(E9:E28)</f>
        <v>18 / 20</v>
      </c>
    </row>
    <row r="37" customFormat="false" ht="15" hidden="false" customHeight="false" outlineLevel="0" collapsed="false">
      <c r="A37" s="12" t="s">
        <v>20</v>
      </c>
      <c r="B37" s="13" t="str">
        <f aca="false">IF(MAX(E9:E28)&lt;=$B$5,"Yes","No")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2026-10-11T10:10:07Z</dcterms:created>
  <dc:creator>openpyxl</dc:creator>
  <dc:description/>
  <dc:language>en-US</dc:language>
  <cp:lastModifiedBy/>
  <dcterms:modified xsi:type="dcterms:W3CDTF">2026-10-11T10:10:07Z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