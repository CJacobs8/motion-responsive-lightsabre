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PM_05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<sst xmlns="http://schemas.openxmlformats.org/spreadsheetml/2006/main" count="50" uniqueCount="32">
  <si>
    <t xml:space="preserve">TPM_05: Motion audio response time</t>
  </si>
  <si>
    <t xml:space="preserve">Time from the swing state being set to the swing sound reaching the amplifier (sound written to I2S + audio already queued), logged by the firmware (TIMING_TEST = 5).</t>
  </si>
  <si>
    <t xml:space="preserve">Legend: yellow = measured values (Serial Monitor) | grey = excluded from the summary | other cells calculate automatically.</t>
  </si>
  <si>
    <t xml:space="preserve">Settings</t>
  </si>
  <si>
    <t xml:space="preserve">Target (ms)</t>
  </si>
  <si>
    <t xml:space="preserve">TPM_05: response time &lt;= 200 ms</t>
  </si>
  <si>
    <t xml:space="preserve">Audible swing volume</t>
  </si>
  <si>
    <t xml:space="preserve">TT_SWING_AUDIBLE</t>
  </si>
  <si>
    <t xml:space="preserve">I2S buffer (ms)</t>
  </si>
  <si>
    <t xml:space="preserve">8 x 256 frames at 22 050 Hz</t>
  </si>
  <si>
    <t xml:space="preserve">Date tested</t>
  </si>
  <si>
    <t xml:space="preserve">2026-10-11</t>
  </si>
  <si>
    <t xml:space="preserve">Measurements</t>
  </si>
  <si>
    <t xml:space="preserve">Swing</t>
  </si>
  <si>
    <t xml:space="preserve">Detect -&gt; sound written (ms)</t>
  </si>
  <si>
    <t xml:space="preserve">Buffer (ms)</t>
  </si>
  <si>
    <t xml:space="preserve">Detect -&gt; speaker (ms)</t>
  </si>
  <si>
    <t xml:space="preserve">Onset -&gt; speaker (ms)</t>
  </si>
  <si>
    <t xml:space="preserve">Included</t>
  </si>
  <si>
    <t xml:space="preserve">Met (&lt;= target)</t>
  </si>
  <si>
    <t xml:space="preserve">Notes</t>
  </si>
  <si>
    <t xml:space="preserve">No</t>
  </si>
  <si>
    <t xml:space="preserve">Swing during ignition (blade not yet fully on)</t>
  </si>
  <si>
    <t xml:space="preserve">Yes</t>
  </si>
  <si>
    <t xml:space="preserve">Summary of included swings (copy into Table H8)</t>
  </si>
  <si>
    <t xml:space="preserve">Swings included</t>
  </si>
  <si>
    <t xml:space="preserve">Mean detect -&gt; speaker (ms)</t>
  </si>
  <si>
    <t xml:space="preserve">Min detect -&gt; speaker (ms)</t>
  </si>
  <si>
    <t xml:space="preserve">Max detect -&gt; speaker (ms)</t>
  </si>
  <si>
    <t xml:space="preserve">Mean onset -&gt; speaker (ms)</t>
  </si>
  <si>
    <t xml:space="preserve">Swings meeting target</t>
  </si>
  <si>
    <t xml:space="preserve">Met (all included &lt;= target)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</si>
</sst>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EECE1"/>
        <bgColor rgb="FFF2F2F2"/>
      </patternFill>
    </fill>
    <fill>
      <patternFill patternType="solid">
        <fgColor rgb="FFF2F2F2"/>
        <bgColor rgb="FFEEECE1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CE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5" min="4" style="0" width="16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5" t="s">
        <v>4</v>
      </c>
      <c r="B6" s="6" t="n">
        <v>200</v>
      </c>
      <c r="C6" s="3" t="s">
        <v>5</v>
      </c>
    </row>
    <row r="7" customFormat="false" ht="15" hidden="false" customHeight="false" outlineLevel="0" collapsed="false">
      <c r="A7" s="5" t="s">
        <v>6</v>
      </c>
      <c r="B7" s="6" t="n">
        <v>0.025</v>
      </c>
      <c r="C7" s="3" t="s">
        <v>7</v>
      </c>
    </row>
    <row r="8" customFormat="false" ht="15" hidden="false" customHeight="false" outlineLevel="0" collapsed="false">
      <c r="A8" s="5" t="s">
        <v>8</v>
      </c>
      <c r="B8" s="6" t="n">
        <v>92.9</v>
      </c>
      <c r="C8" s="3" t="s">
        <v>9</v>
      </c>
    </row>
    <row r="9" customFormat="false" ht="15" hidden="false" customHeight="false" outlineLevel="0" collapsed="false">
      <c r="A9" s="5" t="s">
        <v>10</v>
      </c>
      <c r="B9" s="7" t="s">
        <v>11</v>
      </c>
      <c r="C9" s="3"/>
    </row>
    <row r="11" customFormat="false" ht="15" hidden="false" customHeight="false" outlineLevel="0" collapsed="false">
      <c r="A11" s="4" t="s">
        <v>12</v>
      </c>
    </row>
    <row r="12" customFormat="false" ht="42" hidden="false" customHeight="true" outlineLevel="0" collapsed="false">
      <c r="A12" s="8" t="s">
        <v>13</v>
      </c>
      <c r="B12" s="8" t="s">
        <v>14</v>
      </c>
      <c r="C12" s="8" t="s">
        <v>15</v>
      </c>
      <c r="D12" s="8" t="s">
        <v>16</v>
      </c>
      <c r="E12" s="8" t="s">
        <v>17</v>
      </c>
      <c r="F12" s="8" t="s">
        <v>18</v>
      </c>
      <c r="G12" s="8" t="s">
        <v>19</v>
      </c>
      <c r="H12" s="8" t="s">
        <v>20</v>
      </c>
    </row>
    <row r="13" customFormat="false" ht="15" hidden="false" customHeight="false" outlineLevel="0" collapsed="false">
      <c r="A13" s="7" t="n">
        <v>1</v>
      </c>
      <c r="B13" s="9" t="n">
        <v>205.3</v>
      </c>
      <c r="C13" s="9" t="n">
        <v>69.7</v>
      </c>
      <c r="D13" s="10" t="n">
        <f aca="false">B13+C13</f>
        <v>275</v>
      </c>
      <c r="E13" s="9" t="n">
        <v>321.3</v>
      </c>
      <c r="F13" s="7" t="s">
        <v>21</v>
      </c>
      <c r="G13" s="7" t="str">
        <f aca="false">IF(F13="Yes",IF(D13&lt;=$B$6,"Yes","No"),"-")</f>
        <v>-</v>
      </c>
      <c r="H13" s="5" t="s">
        <v>22</v>
      </c>
    </row>
    <row r="14" customFormat="false" ht="15" hidden="false" customHeight="false" outlineLevel="0" collapsed="false">
      <c r="A14" s="7" t="n">
        <v>2</v>
      </c>
      <c r="B14" s="11" t="n">
        <v>62.6</v>
      </c>
      <c r="C14" s="11" t="n">
        <v>69.7</v>
      </c>
      <c r="D14" s="10" t="n">
        <f aca="false">B14+C14</f>
        <v>132.3</v>
      </c>
      <c r="E14" s="11" t="n">
        <v>221.7</v>
      </c>
      <c r="F14" s="7" t="s">
        <v>23</v>
      </c>
      <c r="G14" s="7" t="str">
        <f aca="false">IF(F14="Yes",IF(D14&lt;=$B$6,"Yes","No"),"-")</f>
        <v>Yes</v>
      </c>
      <c r="H14" s="5"/>
    </row>
    <row r="15" customFormat="false" ht="15" hidden="false" customHeight="false" outlineLevel="0" collapsed="false">
      <c r="A15" s="7" t="n">
        <v>3</v>
      </c>
      <c r="B15" s="11" t="n">
        <v>61.5</v>
      </c>
      <c r="C15" s="11" t="n">
        <v>92.9</v>
      </c>
      <c r="D15" s="10" t="n">
        <f aca="false">B15+C15</f>
        <v>154.4</v>
      </c>
      <c r="E15" s="11" t="n">
        <v>209.5</v>
      </c>
      <c r="F15" s="7" t="s">
        <v>23</v>
      </c>
      <c r="G15" s="7" t="str">
        <f aca="false">IF(F15="Yes",IF(D15&lt;=$B$6,"Yes","No"),"-")</f>
        <v>Yes</v>
      </c>
      <c r="H15" s="5"/>
    </row>
    <row r="16" customFormat="false" ht="15" hidden="false" customHeight="false" outlineLevel="0" collapsed="false">
      <c r="A16" s="7" t="n">
        <v>4</v>
      </c>
      <c r="B16" s="11" t="n">
        <v>63.6</v>
      </c>
      <c r="C16" s="11" t="n">
        <v>92.9</v>
      </c>
      <c r="D16" s="10" t="n">
        <f aca="false">B16+C16</f>
        <v>156.5</v>
      </c>
      <c r="E16" s="11" t="n">
        <v>276.1</v>
      </c>
      <c r="F16" s="7" t="s">
        <v>23</v>
      </c>
      <c r="G16" s="7" t="str">
        <f aca="false">IF(F16="Yes",IF(D16&lt;=$B$6,"Yes","No"),"-")</f>
        <v>Yes</v>
      </c>
      <c r="H16" s="5"/>
    </row>
    <row r="17" customFormat="false" ht="15" hidden="false" customHeight="false" outlineLevel="0" collapsed="false">
      <c r="A17" s="7" t="n">
        <v>5</v>
      </c>
      <c r="B17" s="11" t="n">
        <v>0.1</v>
      </c>
      <c r="C17" s="11" t="n">
        <v>92.9</v>
      </c>
      <c r="D17" s="10" t="n">
        <f aca="false">B17+C17</f>
        <v>93</v>
      </c>
      <c r="E17" s="11" t="n">
        <v>127.9</v>
      </c>
      <c r="F17" s="7" t="s">
        <v>23</v>
      </c>
      <c r="G17" s="7" t="str">
        <f aca="false">IF(F17="Yes",IF(D17&lt;=$B$6,"Yes","No"),"-")</f>
        <v>Yes</v>
      </c>
      <c r="H17" s="5"/>
    </row>
    <row r="18" customFormat="false" ht="15" hidden="false" customHeight="false" outlineLevel="0" collapsed="false">
      <c r="A18" s="7" t="n">
        <v>6</v>
      </c>
      <c r="B18" s="11" t="n">
        <v>70.2</v>
      </c>
      <c r="C18" s="11" t="n">
        <v>81.3</v>
      </c>
      <c r="D18" s="10" t="n">
        <f aca="false">B18+C18</f>
        <v>151.5</v>
      </c>
      <c r="E18" s="11" t="n">
        <v>230.4</v>
      </c>
      <c r="F18" s="7" t="s">
        <v>23</v>
      </c>
      <c r="G18" s="7" t="str">
        <f aca="false">IF(F18="Yes",IF(D18&lt;=$B$6,"Yes","No"),"-")</f>
        <v>Yes</v>
      </c>
      <c r="H18" s="5"/>
    </row>
    <row r="19" customFormat="false" ht="15" hidden="false" customHeight="false" outlineLevel="0" collapsed="false">
      <c r="A19" s="7" t="n">
        <v>7</v>
      </c>
      <c r="B19" s="11" t="n">
        <v>63</v>
      </c>
      <c r="C19" s="11" t="n">
        <v>92.9</v>
      </c>
      <c r="D19" s="10" t="n">
        <f aca="false">B19+C19</f>
        <v>155.9</v>
      </c>
      <c r="E19" s="11" t="n">
        <v>245.3</v>
      </c>
      <c r="F19" s="7" t="s">
        <v>23</v>
      </c>
      <c r="G19" s="7" t="str">
        <f aca="false">IF(F19="Yes",IF(D19&lt;=$B$6,"Yes","No"),"-")</f>
        <v>Yes</v>
      </c>
      <c r="H19" s="5"/>
    </row>
    <row r="20" customFormat="false" ht="15" hidden="false" customHeight="false" outlineLevel="0" collapsed="false">
      <c r="A20" s="7" t="n">
        <v>8</v>
      </c>
      <c r="B20" s="11" t="n">
        <v>0.2</v>
      </c>
      <c r="C20" s="11" t="n">
        <v>92.9</v>
      </c>
      <c r="D20" s="10" t="n">
        <f aca="false">B20+C20</f>
        <v>93.1</v>
      </c>
      <c r="E20" s="11" t="n">
        <v>123.8</v>
      </c>
      <c r="F20" s="7" t="s">
        <v>23</v>
      </c>
      <c r="G20" s="7" t="str">
        <f aca="false">IF(F20="Yes",IF(D20&lt;=$B$6,"Yes","No"),"-")</f>
        <v>Yes</v>
      </c>
      <c r="H20" s="5"/>
    </row>
    <row r="21" customFormat="false" ht="15" hidden="false" customHeight="false" outlineLevel="0" collapsed="false">
      <c r="A21" s="7" t="n">
        <v>9</v>
      </c>
      <c r="B21" s="11" t="n">
        <v>65.1</v>
      </c>
      <c r="C21" s="11" t="n">
        <v>81.3</v>
      </c>
      <c r="D21" s="10" t="n">
        <f aca="false">B21+C21</f>
        <v>146.4</v>
      </c>
      <c r="E21" s="11" t="n">
        <v>239.2</v>
      </c>
      <c r="F21" s="7" t="s">
        <v>23</v>
      </c>
      <c r="G21" s="7" t="str">
        <f aca="false">IF(F21="Yes",IF(D21&lt;=$B$6,"Yes","No"),"-")</f>
        <v>Yes</v>
      </c>
      <c r="H21" s="5"/>
    </row>
    <row r="22" customFormat="false" ht="15" hidden="false" customHeight="false" outlineLevel="0" collapsed="false">
      <c r="A22" s="7" t="n">
        <v>10</v>
      </c>
      <c r="B22" s="11" t="n">
        <v>23.8</v>
      </c>
      <c r="C22" s="11" t="n">
        <v>92.9</v>
      </c>
      <c r="D22" s="10" t="n">
        <f aca="false">B22+C22</f>
        <v>116.7</v>
      </c>
      <c r="E22" s="11" t="n">
        <v>198.3</v>
      </c>
      <c r="F22" s="7" t="s">
        <v>23</v>
      </c>
      <c r="G22" s="7" t="str">
        <f aca="false">IF(F22="Yes",IF(D22&lt;=$B$6,"Yes","No"),"-")</f>
        <v>Yes</v>
      </c>
      <c r="H22" s="5"/>
    </row>
    <row r="23" customFormat="false" ht="15" hidden="false" customHeight="false" outlineLevel="0" collapsed="false">
      <c r="A23" s="7" t="n">
        <v>11</v>
      </c>
      <c r="B23" s="11" t="n">
        <v>88.2</v>
      </c>
      <c r="C23" s="11" t="n">
        <v>81.3</v>
      </c>
      <c r="D23" s="10" t="n">
        <f aca="false">B23+C23</f>
        <v>169.5</v>
      </c>
      <c r="E23" s="11" t="n">
        <v>262</v>
      </c>
      <c r="F23" s="7" t="s">
        <v>23</v>
      </c>
      <c r="G23" s="7" t="str">
        <f aca="false">IF(F23="Yes",IF(D23&lt;=$B$6,"Yes","No"),"-")</f>
        <v>Yes</v>
      </c>
      <c r="H23" s="5"/>
    </row>
    <row r="24" customFormat="false" ht="15" hidden="false" customHeight="false" outlineLevel="0" collapsed="false">
      <c r="A24" s="7" t="n">
        <v>12</v>
      </c>
      <c r="B24" s="11" t="n">
        <v>100.5</v>
      </c>
      <c r="C24" s="11" t="n">
        <v>69.7</v>
      </c>
      <c r="D24" s="10" t="n">
        <f aca="false">B24+C24</f>
        <v>170.2</v>
      </c>
      <c r="E24" s="11" t="n">
        <v>255.3</v>
      </c>
      <c r="F24" s="7" t="s">
        <v>23</v>
      </c>
      <c r="G24" s="7" t="str">
        <f aca="false">IF(F24="Yes",IF(D24&lt;=$B$6,"Yes","No"),"-")</f>
        <v>Yes</v>
      </c>
      <c r="H24" s="5"/>
    </row>
    <row r="25" customFormat="false" ht="15" hidden="false" customHeight="false" outlineLevel="0" collapsed="false">
      <c r="A25" s="7" t="n">
        <v>13</v>
      </c>
      <c r="B25" s="11" t="n">
        <v>64.5</v>
      </c>
      <c r="C25" s="11" t="n">
        <v>81.3</v>
      </c>
      <c r="D25" s="10" t="n">
        <f aca="false">B25+C25</f>
        <v>145.8</v>
      </c>
      <c r="E25" s="11" t="n">
        <v>226.7</v>
      </c>
      <c r="F25" s="7" t="s">
        <v>23</v>
      </c>
      <c r="G25" s="7" t="str">
        <f aca="false">IF(F25="Yes",IF(D25&lt;=$B$6,"Yes","No"),"-")</f>
        <v>Yes</v>
      </c>
      <c r="H25" s="5"/>
    </row>
    <row r="26" customFormat="false" ht="15" hidden="false" customHeight="false" outlineLevel="0" collapsed="false">
      <c r="A26" s="7" t="n">
        <v>14</v>
      </c>
      <c r="B26" s="11" t="n">
        <v>0.2</v>
      </c>
      <c r="C26" s="11" t="n">
        <v>81.3</v>
      </c>
      <c r="D26" s="10" t="n">
        <f aca="false">B26+C26</f>
        <v>81.5</v>
      </c>
      <c r="E26" s="11" t="n">
        <v>118</v>
      </c>
      <c r="F26" s="7" t="s">
        <v>23</v>
      </c>
      <c r="G26" s="7" t="str">
        <f aca="false">IF(F26="Yes",IF(D26&lt;=$B$6,"Yes","No"),"-")</f>
        <v>Yes</v>
      </c>
      <c r="H26" s="5"/>
    </row>
    <row r="27" customFormat="false" ht="15" hidden="false" customHeight="false" outlineLevel="0" collapsed="false">
      <c r="A27" s="7" t="n">
        <v>15</v>
      </c>
      <c r="B27" s="11" t="n">
        <v>0.1</v>
      </c>
      <c r="C27" s="11" t="n">
        <v>92.9</v>
      </c>
      <c r="D27" s="10" t="n">
        <f aca="false">B27+C27</f>
        <v>93</v>
      </c>
      <c r="E27" s="11" t="n">
        <v>106.7</v>
      </c>
      <c r="F27" s="7" t="s">
        <v>23</v>
      </c>
      <c r="G27" s="7" t="str">
        <f aca="false">IF(F27="Yes",IF(D27&lt;=$B$6,"Yes","No"),"-")</f>
        <v>Yes</v>
      </c>
      <c r="H27" s="5"/>
    </row>
    <row r="28" customFormat="false" ht="15" hidden="false" customHeight="false" outlineLevel="0" collapsed="false">
      <c r="A28" s="7" t="n">
        <v>16</v>
      </c>
      <c r="B28" s="11" t="n">
        <v>74</v>
      </c>
      <c r="C28" s="11" t="n">
        <v>92.9</v>
      </c>
      <c r="D28" s="10" t="n">
        <f aca="false">B28+C28</f>
        <v>166.9</v>
      </c>
      <c r="E28" s="11" t="n">
        <v>232.9</v>
      </c>
      <c r="F28" s="7" t="s">
        <v>23</v>
      </c>
      <c r="G28" s="7" t="str">
        <f aca="false">IF(F28="Yes",IF(D28&lt;=$B$6,"Yes","No"),"-")</f>
        <v>Yes</v>
      </c>
      <c r="H28" s="5"/>
    </row>
    <row r="29" customFormat="false" ht="15" hidden="false" customHeight="false" outlineLevel="0" collapsed="false">
      <c r="A29" s="7" t="n">
        <v>17</v>
      </c>
      <c r="B29" s="11" t="n">
        <v>0.2</v>
      </c>
      <c r="C29" s="11" t="n">
        <v>81.3</v>
      </c>
      <c r="D29" s="10" t="n">
        <f aca="false">B29+C29</f>
        <v>81.5</v>
      </c>
      <c r="E29" s="11" t="n">
        <v>81.5</v>
      </c>
      <c r="F29" s="7" t="s">
        <v>23</v>
      </c>
      <c r="G29" s="7" t="str">
        <f aca="false">IF(F29="Yes",IF(D29&lt;=$B$6,"Yes","No"),"-")</f>
        <v>Yes</v>
      </c>
      <c r="H29" s="5"/>
    </row>
    <row r="30" customFormat="false" ht="15" hidden="false" customHeight="false" outlineLevel="0" collapsed="false">
      <c r="A30" s="7" t="n">
        <v>18</v>
      </c>
      <c r="B30" s="11" t="n">
        <v>69.9</v>
      </c>
      <c r="C30" s="11" t="n">
        <v>92.9</v>
      </c>
      <c r="D30" s="10" t="n">
        <f aca="false">B30+C30</f>
        <v>162.8</v>
      </c>
      <c r="E30" s="11" t="n">
        <v>214</v>
      </c>
      <c r="F30" s="7" t="s">
        <v>23</v>
      </c>
      <c r="G30" s="7" t="str">
        <f aca="false">IF(F30="Yes",IF(D30&lt;=$B$6,"Yes","No"),"-")</f>
        <v>Yes</v>
      </c>
      <c r="H30" s="5"/>
    </row>
    <row r="31" customFormat="false" ht="15" hidden="false" customHeight="false" outlineLevel="0" collapsed="false">
      <c r="A31" s="7" t="n">
        <v>19</v>
      </c>
      <c r="B31" s="11" t="n">
        <v>99.3</v>
      </c>
      <c r="C31" s="11" t="n">
        <v>81.3</v>
      </c>
      <c r="D31" s="10" t="n">
        <f aca="false">B31+C31</f>
        <v>180.6</v>
      </c>
      <c r="E31" s="11" t="n">
        <v>232.4</v>
      </c>
      <c r="F31" s="7" t="s">
        <v>23</v>
      </c>
      <c r="G31" s="7" t="str">
        <f aca="false">IF(F31="Yes",IF(D31&lt;=$B$6,"Yes","No"),"-")</f>
        <v>Yes</v>
      </c>
      <c r="H31" s="5"/>
    </row>
    <row r="32" customFormat="false" ht="15" hidden="false" customHeight="false" outlineLevel="0" collapsed="false">
      <c r="A32" s="7" t="n">
        <v>20</v>
      </c>
      <c r="B32" s="11" t="n">
        <v>87.8</v>
      </c>
      <c r="C32" s="11" t="n">
        <v>92.9</v>
      </c>
      <c r="D32" s="10" t="n">
        <f aca="false">B32+C32</f>
        <v>180.7</v>
      </c>
      <c r="E32" s="11" t="n">
        <v>238.9</v>
      </c>
      <c r="F32" s="7" t="s">
        <v>23</v>
      </c>
      <c r="G32" s="7" t="str">
        <f aca="false">IF(F32="Yes",IF(D32&lt;=$B$6,"Yes","No"),"-")</f>
        <v>Yes</v>
      </c>
      <c r="H32" s="5"/>
    </row>
    <row r="35" customFormat="false" ht="15" hidden="false" customHeight="false" outlineLevel="0" collapsed="false">
      <c r="A35" s="4" t="s">
        <v>24</v>
      </c>
    </row>
    <row r="36" customFormat="false" ht="15" hidden="false" customHeight="false" outlineLevel="0" collapsed="false">
      <c r="A36" s="5" t="s">
        <v>25</v>
      </c>
      <c r="B36" s="12" t="n">
        <f aca="false">COUNTIF(F13:F32,"Yes")</f>
        <v>19</v>
      </c>
    </row>
    <row r="37" customFormat="false" ht="15" hidden="false" customHeight="false" outlineLevel="0" collapsed="false">
      <c r="A37" s="5" t="s">
        <v>26</v>
      </c>
      <c r="B37" s="10" t="n">
        <f aca="false">AVERAGEIF(F13:F32,"Yes",D13:D32)</f>
        <v>138.542105263158</v>
      </c>
    </row>
    <row r="38" customFormat="false" ht="15" hidden="false" customHeight="false" outlineLevel="0" collapsed="false">
      <c r="A38" s="5" t="s">
        <v>27</v>
      </c>
      <c r="B38" s="10" t="n">
        <f aca="false">_xlfn.MINIFS(D13:D32,F13:F32,"Yes")</f>
        <v>81.5</v>
      </c>
    </row>
    <row r="39" customFormat="false" ht="15" hidden="false" customHeight="false" outlineLevel="0" collapsed="false">
      <c r="A39" s="5" t="s">
        <v>28</v>
      </c>
      <c r="B39" s="10" t="n">
        <f aca="false">_xlfn.MAXIFS(D13:D32,F13:F32,"Yes")</f>
        <v>180.7</v>
      </c>
    </row>
    <row r="40" customFormat="false" ht="15" hidden="false" customHeight="false" outlineLevel="0" collapsed="false">
      <c r="A40" s="5" t="s">
        <v>29</v>
      </c>
      <c r="B40" s="10" t="n">
        <f aca="false">AVERAGEIF(F13:F32,"Yes",E13:E32)</f>
        <v>202.136842105263</v>
      </c>
    </row>
    <row r="41" customFormat="false" ht="15" hidden="false" customHeight="false" outlineLevel="0" collapsed="false">
      <c r="A41" s="5" t="s">
        <v>30</v>
      </c>
      <c r="B41" s="7" t="str">
        <f aca="false">COUNTIF(G13:G32,"Yes")&amp;" / "&amp;COUNTIF(F13:F32,"Yes")</f>
        <v>19 / 19</v>
      </c>
    </row>
    <row r="42" customFormat="false" ht="15" hidden="false" customHeight="false" outlineLevel="0" collapsed="false">
      <c r="A42" s="13" t="s">
        <v>31</v>
      </c>
      <c r="B42" s="14" t="str">
        <f aca="false">IF(_xlfn.MAXIFS(D13:D32,F13:F32,"Yes")&lt;=$B$6,"Yes","No")</f>
        <v>Yes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2026-10-11T09:58:58Z</dcterms:created>
  <dc:creator>openpyxl</dc:creator>
  <dc:description/>
  <dc:language>en-US</dc:language>
  <cp:lastModifiedBy/>
  <dcterms:modified xsi:type="dcterms:W3CDTF">2026-10-11T09:58:58Z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