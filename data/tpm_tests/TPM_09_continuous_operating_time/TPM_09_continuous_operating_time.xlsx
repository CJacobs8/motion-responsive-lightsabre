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PM_09 v1 55%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Measure with a multimeter after charging; should read about 8.4 V.</t>
        </r>
      </text>
    </comment>
    <comment ref="D10" authorId="0">
      <text>
        <r>
          <rPr>
            <sz val="10"/>
            <rFont val="Arial"/>
            <family val="2"/>
          </rPr>
          <t xml:space="preserve">e.g. idle hum with periodic swings, or blade on at constant colour. Keep it the same for every test.</t>
        </r>
      </text>
    </comment>
  </commentList>
</comments>
</file>

<file path=xl/sharedStrings.xml><?xml version="1.0" encoding="utf-8"?>
<sst xmlns="http://schemas.openxmlformats.org/spreadsheetml/2006/main" count="28" uniqueCount="27">
  <si>
    <t xml:space="preserve">TPM_09: Continuous operating time (version 1, 55 % brightness)</t>
  </si>
  <si>
    <t xml:space="preserve">Yellow cells are inputs. Blue cells are calculated. Fully charge the pack to 8.4 V, switch on, start the timer and record a reading every 10 min until the BMS cuts off.</t>
  </si>
  <si>
    <t xml:space="preserve">Test date</t>
  </si>
  <si>
    <t xml:space="preserve">13/10/2026</t>
  </si>
  <si>
    <t xml:space="preserve">Lightsabre version</t>
  </si>
  <si>
    <t xml:space="preserve">Version 1</t>
  </si>
  <si>
    <t xml:space="preserve">LED brightness setting [%]</t>
  </si>
  <si>
    <t xml:space="preserve">Battery voltage at start [V]</t>
  </si>
  <si>
    <t xml:space="preserve">Start time (hh:mm)</t>
  </si>
  <si>
    <t xml:space="preserve">Ambient temperature [°C]</t>
  </si>
  <si>
    <t xml:space="preserve">Blade mode during test</t>
  </si>
  <si>
    <t xml:space="preserve">default</t>
  </si>
  <si>
    <t xml:space="preserve">Measuring instrument(s)</t>
  </si>
  <si>
    <t xml:space="preserve">Multimeter</t>
  </si>
  <si>
    <t xml:space="preserve">Reading</t>
  </si>
  <si>
    <t xml:space="preserve">Clock time</t>
  </si>
  <si>
    <t xml:space="preserve">Elapsed [min]</t>
  </si>
  <si>
    <t xml:space="preserve">Battery voltage [V]</t>
  </si>
  <si>
    <t xml:space="preserve">5 V rail [V]</t>
  </si>
  <si>
    <t xml:space="preserve">Last reading before cut-off</t>
  </si>
  <si>
    <t xml:space="preserve">Blade began switching on and off (BMS cut-off, voltage recovering without load); test stopped</t>
  </si>
  <si>
    <t xml:space="preserve">Summary (Table G12)</t>
  </si>
  <si>
    <t xml:space="preserve">Battery voltage at cut-off [V] (last reading under load)</t>
  </si>
  <si>
    <t xml:space="preserve">Operating time [min] (until first cut-off)</t>
  </si>
  <si>
    <t xml:space="preserve">Target [min]</t>
  </si>
  <si>
    <t xml:space="preserve">Target met</t>
  </si>
  <si>
    <t xml:space="preserve">The cut-off reading is the last voltage logged before the BMS switched the pack off. Log the final time even if it falls between 10 min readings.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</si>
</sst>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"/>
    <numFmt numFmtId="167" formatCode="0.00"/>
    <numFmt numFmtId="168" formatCode="h:mm"/>
    <numFmt numFmtId="169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E7EEF7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E7EE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ZA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ZA" sz="1800" spc="-1" strike="noStrike">
                <a:solidFill>
                  <a:srgbClr val="000000"/>
                </a:solidFill>
                <a:latin typeface="Calibri"/>
              </a:rPr>
              <a:t>Battery voltage during discharge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Battery voltage [V]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1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0</c:f>
              <c:numCache>
                <c:formatCode>0.00</c:formatCode>
                <c:ptCount val="39"/>
                <c:pt idx="0">
                  <c:v>8.4</c:v>
                </c:pt>
                <c:pt idx="1">
                  <c:v>7.61</c:v>
                </c:pt>
                <c:pt idx="2">
                  <c:v>7.52</c:v>
                </c:pt>
                <c:pt idx="3">
                  <c:v>7.47</c:v>
                </c:pt>
                <c:pt idx="4">
                  <c:v>7.42</c:v>
                </c:pt>
                <c:pt idx="5">
                  <c:v>7.38</c:v>
                </c:pt>
                <c:pt idx="6">
                  <c:v>7.34</c:v>
                </c:pt>
                <c:pt idx="7">
                  <c:v>7.32</c:v>
                </c:pt>
                <c:pt idx="8">
                  <c:v>7.28</c:v>
                </c:pt>
                <c:pt idx="9">
                  <c:v>7.25</c:v>
                </c:pt>
                <c:pt idx="10">
                  <c:v>7.23</c:v>
                </c:pt>
                <c:pt idx="11">
                  <c:v>7.22</c:v>
                </c:pt>
                <c:pt idx="12">
                  <c:v>7.18</c:v>
                </c:pt>
                <c:pt idx="13">
                  <c:v>7.16</c:v>
                </c:pt>
                <c:pt idx="14">
                  <c:v>7.14</c:v>
                </c:pt>
                <c:pt idx="15">
                  <c:v>7.12</c:v>
                </c:pt>
                <c:pt idx="16">
                  <c:v>7.11</c:v>
                </c:pt>
                <c:pt idx="17">
                  <c:v>7.08</c:v>
                </c:pt>
                <c:pt idx="18">
                  <c:v>7.06</c:v>
                </c:pt>
                <c:pt idx="19">
                  <c:v>7.04</c:v>
                </c:pt>
                <c:pt idx="20">
                  <c:v>7.02</c:v>
                </c:pt>
                <c:pt idx="21">
                  <c:v>6.99</c:v>
                </c:pt>
                <c:pt idx="22">
                  <c:v>6.96</c:v>
                </c:pt>
                <c:pt idx="23">
                  <c:v>6.92</c:v>
                </c:pt>
                <c:pt idx="24">
                  <c:v>6.9</c:v>
                </c:pt>
                <c:pt idx="25">
                  <c:v>6.78</c:v>
                </c:pt>
                <c:pt idx="26">
                  <c:v>6.59</c:v>
                </c:pt>
                <c:pt idx="27">
                  <c:v>6.47</c:v>
                </c:pt>
                <c:pt idx="28">
                  <c:v>6.33</c:v>
                </c:pt>
                <c:pt idx="29">
                  <c:v>6.23</c:v>
                </c:pt>
                <c:pt idx="30">
                  <c:v>6.08</c:v>
                </c:pt>
                <c:pt idx="31">
                  <c:v>6.32</c:v>
                </c:pt>
              </c:numCache>
            </c:numRef>
          </c:yVal>
          <c:smooth val="1"/>
        </c:ser>
        <c:axId val="55410516"/>
        <c:axId val="44748317"/>
      </c:scatterChart>
      <c:valAx>
        <c:axId val="5541051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n-ZA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ZA" sz="1000" spc="-1" strike="noStrike">
                    <a:solidFill>
                      <a:srgbClr val="000000"/>
                    </a:solidFill>
                    <a:latin typeface="Calibri"/>
                  </a:rPr>
                  <a:t>Elapsed time [min]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48317"/>
        <c:crosses val="autoZero"/>
        <c:crossBetween val="midCat"/>
      </c:valAx>
      <c:valAx>
        <c:axId val="447483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ZA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ZA" sz="1000" spc="-1" strike="noStrike">
                    <a:solidFill>
                      <a:srgbClr val="000000"/>
                    </a:solidFill>
                    <a:latin typeface="Calibri"/>
                  </a:rPr>
                  <a:t>Battery voltage [V]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1051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209520</xdr:colOff>
      <xdr:row>0</xdr:row>
      <xdr:rowOff>101520</xdr:rowOff>
    </xdr:from>
    <xdr:to>
      <xdr:col>18</xdr:col>
      <xdr:colOff>213480</xdr:colOff>
      <xdr:row>15</xdr:row>
      <xdr:rowOff>95400</xdr:rowOff>
    </xdr:to>
    <xdr:graphicFrame>
      <xdr:nvGraphicFramePr>
        <xdr:cNvPr id="0" name="Chart 1"/>
        <xdr:cNvGraphicFramePr/>
      </xdr:nvGraphicFramePr>
      <xdr:xfrm>
        <a:off x="5937120" y="101520"/>
        <a:ext cx="6087240" cy="318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K38" activeCellId="0" sqref="K38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4"/>
  </cols>
  <sheetData>
    <row r="1" customFormat="false" ht="16.5" hidden="false" customHeight="true" outlineLevel="0" collapsed="false">
      <c r="A1" s="2" t="s">
        <v>0</v>
      </c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/>
      <c r="C4" s="4"/>
      <c r="D4" s="5" t="s">
        <v>3</v>
      </c>
    </row>
    <row r="5" customFormat="false" ht="15" hidden="false" customHeight="true" outlineLevel="0" collapsed="false">
      <c r="A5" s="4" t="s">
        <v>4</v>
      </c>
      <c r="B5" s="4"/>
      <c r="C5" s="4"/>
      <c r="D5" s="6" t="s">
        <v>5</v>
      </c>
    </row>
    <row r="6" customFormat="false" ht="15" hidden="false" customHeight="true" outlineLevel="0" collapsed="false">
      <c r="A6" s="4" t="s">
        <v>6</v>
      </c>
      <c r="B6" s="4"/>
      <c r="C6" s="4"/>
      <c r="D6" s="7" t="n">
        <v>55</v>
      </c>
    </row>
    <row r="7" customFormat="false" ht="15" hidden="false" customHeight="true" outlineLevel="0" collapsed="false">
      <c r="A7" s="4" t="s">
        <v>7</v>
      </c>
      <c r="B7" s="4"/>
      <c r="C7" s="4"/>
      <c r="D7" s="8" t="n">
        <v>8.4</v>
      </c>
    </row>
    <row r="8" customFormat="false" ht="15" hidden="false" customHeight="true" outlineLevel="0" collapsed="false">
      <c r="A8" s="4" t="s">
        <v>8</v>
      </c>
      <c r="B8" s="4"/>
      <c r="C8" s="4"/>
      <c r="D8" s="9" t="n">
        <v>0.444444444444444</v>
      </c>
    </row>
    <row r="9" customFormat="false" ht="15" hidden="false" customHeight="true" outlineLevel="0" collapsed="false">
      <c r="A9" s="4" t="s">
        <v>9</v>
      </c>
      <c r="B9" s="4"/>
      <c r="C9" s="4"/>
      <c r="D9" s="10" t="n">
        <v>21</v>
      </c>
    </row>
    <row r="10" customFormat="false" ht="15" hidden="false" customHeight="true" outlineLevel="0" collapsed="false">
      <c r="A10" s="4" t="s">
        <v>10</v>
      </c>
      <c r="B10" s="4"/>
      <c r="C10" s="4"/>
      <c r="D10" s="6" t="s">
        <v>11</v>
      </c>
    </row>
    <row r="11" customFormat="false" ht="15" hidden="false" customHeight="true" outlineLevel="0" collapsed="false">
      <c r="A11" s="4" t="s">
        <v>12</v>
      </c>
      <c r="B11" s="4"/>
      <c r="C11" s="4"/>
      <c r="D11" s="6" t="s">
        <v>13</v>
      </c>
    </row>
    <row r="13" customFormat="false" ht="30" hidden="false" customHeight="true" outlineLevel="0" collapsed="false">
      <c r="A13" s="11" t="s">
        <v>14</v>
      </c>
      <c r="B13" s="11" t="s">
        <v>15</v>
      </c>
      <c r="C13" s="11" t="s">
        <v>16</v>
      </c>
      <c r="D13" s="11" t="s">
        <v>17</v>
      </c>
      <c r="E13" s="11" t="s">
        <v>18</v>
      </c>
    </row>
    <row r="14" customFormat="false" ht="14.25" hidden="false" customHeight="true" outlineLevel="0" collapsed="false">
      <c r="A14" s="12" t="n">
        <v>0</v>
      </c>
      <c r="B14" s="9" t="n">
        <v>0.444444444444444</v>
      </c>
      <c r="C14" s="13" t="n">
        <f aca="false">IF(B14="","",ROUND((B14-$D$8)*1440,1))</f>
        <v>0</v>
      </c>
      <c r="D14" s="8" t="n">
        <v>8.4</v>
      </c>
      <c r="E14" s="8" t="n">
        <v>4.88</v>
      </c>
    </row>
    <row r="15" customFormat="false" ht="14.25" hidden="false" customHeight="true" outlineLevel="0" collapsed="false">
      <c r="A15" s="12" t="n">
        <v>1</v>
      </c>
      <c r="B15" s="9" t="n">
        <v>0.451388888888889</v>
      </c>
      <c r="C15" s="13" t="n">
        <f aca="false">IF(B15="","",ROUND((B15-$D$8)*1440,1))</f>
        <v>10</v>
      </c>
      <c r="D15" s="8" t="n">
        <v>7.61</v>
      </c>
      <c r="E15" s="8" t="n">
        <v>4.88</v>
      </c>
    </row>
    <row r="16" customFormat="false" ht="14.25" hidden="false" customHeight="true" outlineLevel="0" collapsed="false">
      <c r="A16" s="12" t="n">
        <v>2</v>
      </c>
      <c r="B16" s="9" t="n">
        <v>0.458333333333333</v>
      </c>
      <c r="C16" s="13" t="n">
        <f aca="false">IF(B16="","",ROUND((B16-$D$8)*1440,1))</f>
        <v>20</v>
      </c>
      <c r="D16" s="8" t="n">
        <v>7.52</v>
      </c>
      <c r="E16" s="8" t="n">
        <v>4.88</v>
      </c>
    </row>
    <row r="17" customFormat="false" ht="14.25" hidden="false" customHeight="true" outlineLevel="0" collapsed="false">
      <c r="A17" s="12" t="n">
        <v>3</v>
      </c>
      <c r="B17" s="9" t="n">
        <v>0.465277777777778</v>
      </c>
      <c r="C17" s="13" t="n">
        <f aca="false">IF(B17="","",ROUND((B17-$D$8)*1440,1))</f>
        <v>30</v>
      </c>
      <c r="D17" s="8" t="n">
        <v>7.47</v>
      </c>
      <c r="E17" s="8" t="n">
        <v>4.88</v>
      </c>
    </row>
    <row r="18" customFormat="false" ht="14.25" hidden="false" customHeight="true" outlineLevel="0" collapsed="false">
      <c r="A18" s="12" t="n">
        <v>4</v>
      </c>
      <c r="B18" s="9" t="n">
        <v>0.472222222222222</v>
      </c>
      <c r="C18" s="13" t="n">
        <f aca="false">IF(B18="","",ROUND((B18-$D$8)*1440,1))</f>
        <v>40</v>
      </c>
      <c r="D18" s="8" t="n">
        <v>7.42</v>
      </c>
      <c r="E18" s="8" t="n">
        <v>4.88</v>
      </c>
    </row>
    <row r="19" customFormat="false" ht="14.25" hidden="false" customHeight="true" outlineLevel="0" collapsed="false">
      <c r="A19" s="12" t="n">
        <v>5</v>
      </c>
      <c r="B19" s="9" t="n">
        <v>0.479166666666667</v>
      </c>
      <c r="C19" s="13" t="n">
        <f aca="false">IF(B19="","",ROUND((B19-$D$8)*1440,1))</f>
        <v>50</v>
      </c>
      <c r="D19" s="8" t="n">
        <v>7.38</v>
      </c>
      <c r="E19" s="8" t="n">
        <v>4.88</v>
      </c>
    </row>
    <row r="20" customFormat="false" ht="14.25" hidden="false" customHeight="true" outlineLevel="0" collapsed="false">
      <c r="A20" s="12" t="n">
        <v>6</v>
      </c>
      <c r="B20" s="9" t="n">
        <v>0.486111111111111</v>
      </c>
      <c r="C20" s="13" t="n">
        <f aca="false">IF(B20="","",ROUND((B20-$D$8)*1440,1))</f>
        <v>60</v>
      </c>
      <c r="D20" s="8" t="n">
        <v>7.34</v>
      </c>
      <c r="E20" s="8" t="n">
        <v>4.88</v>
      </c>
    </row>
    <row r="21" customFormat="false" ht="14.25" hidden="false" customHeight="true" outlineLevel="0" collapsed="false">
      <c r="A21" s="12" t="n">
        <v>7</v>
      </c>
      <c r="B21" s="9" t="n">
        <v>0.493055555555556</v>
      </c>
      <c r="C21" s="13" t="n">
        <f aca="false">IF(B21="","",ROUND((B21-$D$8)*1440,1))</f>
        <v>70</v>
      </c>
      <c r="D21" s="8" t="n">
        <v>7.32</v>
      </c>
      <c r="E21" s="8" t="n">
        <v>4.88</v>
      </c>
    </row>
    <row r="22" customFormat="false" ht="14.25" hidden="false" customHeight="true" outlineLevel="0" collapsed="false">
      <c r="A22" s="12" t="n">
        <v>8</v>
      </c>
      <c r="B22" s="9" t="n">
        <v>0.5</v>
      </c>
      <c r="C22" s="13" t="n">
        <f aca="false">IF(B22="","",ROUND((B22-$D$8)*1440,1))</f>
        <v>80</v>
      </c>
      <c r="D22" s="8" t="n">
        <v>7.28</v>
      </c>
      <c r="E22" s="8" t="n">
        <v>4.88</v>
      </c>
    </row>
    <row r="23" customFormat="false" ht="14.25" hidden="false" customHeight="true" outlineLevel="0" collapsed="false">
      <c r="A23" s="12" t="n">
        <v>9</v>
      </c>
      <c r="B23" s="9" t="n">
        <v>0.506944444444444</v>
      </c>
      <c r="C23" s="13" t="n">
        <f aca="false">IF(B23="","",ROUND((B23-$D$8)*1440,1))</f>
        <v>90</v>
      </c>
      <c r="D23" s="8" t="n">
        <v>7.25</v>
      </c>
      <c r="E23" s="8" t="n">
        <v>4.88</v>
      </c>
    </row>
    <row r="24" customFormat="false" ht="14.25" hidden="false" customHeight="true" outlineLevel="0" collapsed="false">
      <c r="A24" s="12" t="n">
        <v>10</v>
      </c>
      <c r="B24" s="9" t="n">
        <v>0.513888888888889</v>
      </c>
      <c r="C24" s="13" t="n">
        <f aca="false">IF(B24="","",ROUND((B24-$D$8)*1440,1))</f>
        <v>100</v>
      </c>
      <c r="D24" s="8" t="n">
        <v>7.23</v>
      </c>
      <c r="E24" s="8" t="n">
        <v>4.88</v>
      </c>
    </row>
    <row r="25" customFormat="false" ht="14.25" hidden="false" customHeight="true" outlineLevel="0" collapsed="false">
      <c r="A25" s="12" t="n">
        <v>11</v>
      </c>
      <c r="B25" s="9" t="n">
        <v>0.520833333333333</v>
      </c>
      <c r="C25" s="13" t="n">
        <f aca="false">IF(B25="","",ROUND((B25-$D$8)*1440,1))</f>
        <v>110</v>
      </c>
      <c r="D25" s="8" t="n">
        <v>7.22</v>
      </c>
      <c r="E25" s="8" t="n">
        <v>4.88</v>
      </c>
    </row>
    <row r="26" customFormat="false" ht="14.25" hidden="false" customHeight="true" outlineLevel="0" collapsed="false">
      <c r="A26" s="12" t="n">
        <v>12</v>
      </c>
      <c r="B26" s="9" t="n">
        <v>0.527777777777778</v>
      </c>
      <c r="C26" s="13" t="n">
        <f aca="false">IF(B26="","",ROUND((B26-$D$8)*1440,1))</f>
        <v>120</v>
      </c>
      <c r="D26" s="8" t="n">
        <v>7.18</v>
      </c>
      <c r="E26" s="8" t="n">
        <v>4.88</v>
      </c>
    </row>
    <row r="27" customFormat="false" ht="14.25" hidden="false" customHeight="true" outlineLevel="0" collapsed="false">
      <c r="A27" s="12" t="n">
        <v>13</v>
      </c>
      <c r="B27" s="9" t="n">
        <v>0.534722222222222</v>
      </c>
      <c r="C27" s="13" t="n">
        <f aca="false">IF(B27="","",ROUND((B27-$D$8)*1440,1))</f>
        <v>130</v>
      </c>
      <c r="D27" s="8" t="n">
        <v>7.16</v>
      </c>
      <c r="E27" s="8" t="n">
        <v>4.88</v>
      </c>
    </row>
    <row r="28" customFormat="false" ht="14.25" hidden="false" customHeight="true" outlineLevel="0" collapsed="false">
      <c r="A28" s="12" t="n">
        <v>14</v>
      </c>
      <c r="B28" s="9" t="n">
        <v>0.541666666666667</v>
      </c>
      <c r="C28" s="13" t="n">
        <f aca="false">IF(B28="","",ROUND((B28-$D$8)*1440,1))</f>
        <v>140</v>
      </c>
      <c r="D28" s="8" t="n">
        <v>7.14</v>
      </c>
      <c r="E28" s="8" t="n">
        <v>4.88</v>
      </c>
    </row>
    <row r="29" customFormat="false" ht="14.25" hidden="false" customHeight="true" outlineLevel="0" collapsed="false">
      <c r="A29" s="12" t="n">
        <v>15</v>
      </c>
      <c r="B29" s="9" t="n">
        <v>0.548611111111111</v>
      </c>
      <c r="C29" s="13" t="n">
        <f aca="false">IF(B29="","",ROUND((B29-$D$8)*1440,1))</f>
        <v>150</v>
      </c>
      <c r="D29" s="8" t="n">
        <v>7.12</v>
      </c>
      <c r="E29" s="8" t="n">
        <v>4.88</v>
      </c>
    </row>
    <row r="30" customFormat="false" ht="14.25" hidden="false" customHeight="true" outlineLevel="0" collapsed="false">
      <c r="A30" s="12" t="n">
        <v>16</v>
      </c>
      <c r="B30" s="9" t="n">
        <v>0.555555555555556</v>
      </c>
      <c r="C30" s="13" t="n">
        <f aca="false">IF(B30="","",ROUND((B30-$D$8)*1440,1))</f>
        <v>160</v>
      </c>
      <c r="D30" s="8" t="n">
        <v>7.11</v>
      </c>
      <c r="E30" s="8" t="n">
        <v>4.88</v>
      </c>
    </row>
    <row r="31" customFormat="false" ht="14.25" hidden="false" customHeight="true" outlineLevel="0" collapsed="false">
      <c r="A31" s="12" t="n">
        <v>17</v>
      </c>
      <c r="B31" s="9" t="n">
        <v>0.5625</v>
      </c>
      <c r="C31" s="13" t="n">
        <f aca="false">IF(B31="","",ROUND((B31-$D$8)*1440,1))</f>
        <v>170</v>
      </c>
      <c r="D31" s="8" t="n">
        <v>7.08</v>
      </c>
      <c r="E31" s="8" t="n">
        <v>4.88</v>
      </c>
    </row>
    <row r="32" customFormat="false" ht="14.25" hidden="false" customHeight="true" outlineLevel="0" collapsed="false">
      <c r="A32" s="12" t="n">
        <v>18</v>
      </c>
      <c r="B32" s="9" t="n">
        <v>0.569444444444444</v>
      </c>
      <c r="C32" s="13" t="n">
        <f aca="false">IF(B32="","",ROUND((B32-$D$8)*1440,1))</f>
        <v>180</v>
      </c>
      <c r="D32" s="8" t="n">
        <v>7.06</v>
      </c>
      <c r="E32" s="8" t="n">
        <v>4.88</v>
      </c>
    </row>
    <row r="33" customFormat="false" ht="14.25" hidden="false" customHeight="true" outlineLevel="0" collapsed="false">
      <c r="A33" s="12" t="n">
        <v>19</v>
      </c>
      <c r="B33" s="9" t="n">
        <v>0.576388888888889</v>
      </c>
      <c r="C33" s="13" t="n">
        <f aca="false">IF(B33="","",ROUND((B33-$D$8)*1440,1))</f>
        <v>190</v>
      </c>
      <c r="D33" s="8" t="n">
        <v>7.04</v>
      </c>
      <c r="E33" s="8" t="n">
        <v>4.88</v>
      </c>
    </row>
    <row r="34" customFormat="false" ht="14.25" hidden="false" customHeight="true" outlineLevel="0" collapsed="false">
      <c r="A34" s="12" t="n">
        <v>20</v>
      </c>
      <c r="B34" s="9" t="n">
        <v>0.583333333333333</v>
      </c>
      <c r="C34" s="13" t="n">
        <f aca="false">IF(B34="","",ROUND((B34-$D$8)*1440,1))</f>
        <v>200</v>
      </c>
      <c r="D34" s="8" t="n">
        <v>7.02</v>
      </c>
      <c r="E34" s="8" t="n">
        <v>4.88</v>
      </c>
    </row>
    <row r="35" customFormat="false" ht="14.25" hidden="false" customHeight="true" outlineLevel="0" collapsed="false">
      <c r="A35" s="12" t="n">
        <v>21</v>
      </c>
      <c r="B35" s="9" t="n">
        <v>0.590277777777778</v>
      </c>
      <c r="C35" s="13" t="n">
        <f aca="false">IF(B35="","",ROUND((B35-$D$8)*1440,1))</f>
        <v>210</v>
      </c>
      <c r="D35" s="8" t="n">
        <v>6.99</v>
      </c>
      <c r="E35" s="8" t="n">
        <v>4.88</v>
      </c>
    </row>
    <row r="36" customFormat="false" ht="14.25" hidden="false" customHeight="true" outlineLevel="0" collapsed="false">
      <c r="A36" s="12" t="n">
        <v>22</v>
      </c>
      <c r="B36" s="9" t="n">
        <v>0.597222222222222</v>
      </c>
      <c r="C36" s="13" t="n">
        <f aca="false">IF(B36="","",ROUND((B36-$D$8)*1440,1))</f>
        <v>220</v>
      </c>
      <c r="D36" s="8" t="n">
        <v>6.96</v>
      </c>
      <c r="E36" s="8" t="n">
        <v>4.88</v>
      </c>
    </row>
    <row r="37" customFormat="false" ht="14.25" hidden="false" customHeight="true" outlineLevel="0" collapsed="false">
      <c r="A37" s="12" t="n">
        <v>23</v>
      </c>
      <c r="B37" s="9" t="n">
        <v>0.604166666666667</v>
      </c>
      <c r="C37" s="13" t="n">
        <f aca="false">IF(B37="","",ROUND((B37-$D$8)*1440,1))</f>
        <v>230</v>
      </c>
      <c r="D37" s="8" t="n">
        <v>6.92</v>
      </c>
      <c r="E37" s="8" t="n">
        <v>4.88</v>
      </c>
    </row>
    <row r="38" customFormat="false" ht="14.25" hidden="false" customHeight="true" outlineLevel="0" collapsed="false">
      <c r="A38" s="12" t="n">
        <v>24</v>
      </c>
      <c r="B38" s="9" t="n">
        <v>0.611111111111111</v>
      </c>
      <c r="C38" s="13" t="n">
        <f aca="false">IF(B38="","",ROUND((B38-$D$8)*1440,1))</f>
        <v>240</v>
      </c>
      <c r="D38" s="8" t="n">
        <v>6.9</v>
      </c>
      <c r="E38" s="8" t="n">
        <v>4.88</v>
      </c>
    </row>
    <row r="39" customFormat="false" ht="14.25" hidden="false" customHeight="true" outlineLevel="0" collapsed="false">
      <c r="A39" s="12" t="n">
        <v>25</v>
      </c>
      <c r="B39" s="9" t="n">
        <v>0.618055555555556</v>
      </c>
      <c r="C39" s="13" t="n">
        <f aca="false">IF(B39="","",ROUND((B39-$D$8)*1440,1))</f>
        <v>250</v>
      </c>
      <c r="D39" s="8" t="n">
        <v>6.78</v>
      </c>
      <c r="E39" s="8" t="n">
        <v>4.88</v>
      </c>
    </row>
    <row r="40" customFormat="false" ht="14.25" hidden="false" customHeight="true" outlineLevel="0" collapsed="false">
      <c r="A40" s="12" t="n">
        <v>26</v>
      </c>
      <c r="B40" s="9" t="n">
        <v>0.625</v>
      </c>
      <c r="C40" s="13" t="n">
        <f aca="false">IF(B40="","",ROUND((B40-$D$8)*1440,1))</f>
        <v>260</v>
      </c>
      <c r="D40" s="8" t="n">
        <v>6.59</v>
      </c>
      <c r="E40" s="8" t="n">
        <v>4.88</v>
      </c>
    </row>
    <row r="41" customFormat="false" ht="14.25" hidden="false" customHeight="true" outlineLevel="0" collapsed="false">
      <c r="A41" s="12" t="n">
        <v>27</v>
      </c>
      <c r="B41" s="9" t="n">
        <v>0.631944444444444</v>
      </c>
      <c r="C41" s="13" t="n">
        <f aca="false">IF(B41="","",ROUND((B41-$D$8)*1440,1))</f>
        <v>270</v>
      </c>
      <c r="D41" s="8" t="n">
        <v>6.47</v>
      </c>
      <c r="E41" s="8" t="n">
        <v>4.88</v>
      </c>
    </row>
    <row r="42" customFormat="false" ht="14.25" hidden="false" customHeight="true" outlineLevel="0" collapsed="false">
      <c r="A42" s="12" t="n">
        <v>28</v>
      </c>
      <c r="B42" s="9" t="n">
        <v>0.638888888888889</v>
      </c>
      <c r="C42" s="13" t="n">
        <f aca="false">IF(B42="","",ROUND((B42-$D$8)*1440,1))</f>
        <v>280</v>
      </c>
      <c r="D42" s="8" t="n">
        <v>6.33</v>
      </c>
      <c r="E42" s="8" t="n">
        <v>4.88</v>
      </c>
    </row>
    <row r="43" customFormat="false" ht="14.25" hidden="false" customHeight="true" outlineLevel="0" collapsed="false">
      <c r="A43" s="12" t="n">
        <v>29</v>
      </c>
      <c r="B43" s="9" t="n">
        <v>0.645833333333333</v>
      </c>
      <c r="C43" s="13" t="n">
        <f aca="false">IF(B43="","",ROUND((B43-$D$8)*1440,1))</f>
        <v>290</v>
      </c>
      <c r="D43" s="8" t="n">
        <v>6.23</v>
      </c>
      <c r="E43" s="8" t="n">
        <v>4.88</v>
      </c>
    </row>
    <row r="44" customFormat="false" ht="14.25" hidden="false" customHeight="true" outlineLevel="0" collapsed="false">
      <c r="A44" s="12" t="n">
        <v>30</v>
      </c>
      <c r="B44" s="9" t="n">
        <v>0.652777777777778</v>
      </c>
      <c r="C44" s="13" t="n">
        <f aca="false">IF(B44="","",ROUND((B44-$D$8)*1440,1))</f>
        <v>300</v>
      </c>
      <c r="D44" s="8" t="n">
        <v>6.08</v>
      </c>
      <c r="E44" s="8" t="n">
        <v>4.88</v>
      </c>
      <c r="G44" s="1" t="s">
        <v>19</v>
      </c>
    </row>
    <row r="45" customFormat="false" ht="14.25" hidden="false" customHeight="true" outlineLevel="0" collapsed="false">
      <c r="A45" s="12" t="n">
        <v>31</v>
      </c>
      <c r="B45" s="9" t="n">
        <v>0.655555555555556</v>
      </c>
      <c r="C45" s="13" t="n">
        <f aca="false">IF(B45="","",ROUND((B45-$D$8)*1440,1))</f>
        <v>304</v>
      </c>
      <c r="D45" s="8" t="n">
        <v>6.32</v>
      </c>
      <c r="E45" s="8" t="n">
        <v>4.88</v>
      </c>
      <c r="G45" s="1" t="s">
        <v>20</v>
      </c>
    </row>
    <row r="46" customFormat="false" ht="14.25" hidden="false" customHeight="true" outlineLevel="0" collapsed="false">
      <c r="A46" s="12" t="n">
        <v>32</v>
      </c>
      <c r="B46" s="9"/>
      <c r="C46" s="13" t="str">
        <f aca="false">IF(B46="","",ROUND((B46-$D$8)*1440,1))</f>
        <v/>
      </c>
      <c r="D46" s="8"/>
      <c r="E46" s="8"/>
    </row>
    <row r="47" customFormat="false" ht="14.25" hidden="false" customHeight="true" outlineLevel="0" collapsed="false">
      <c r="A47" s="12" t="n">
        <v>33</v>
      </c>
      <c r="B47" s="9"/>
      <c r="C47" s="13" t="str">
        <f aca="false">IF(B47="","",ROUND((B47-$D$8)*1440,1))</f>
        <v/>
      </c>
      <c r="D47" s="8"/>
      <c r="E47" s="8"/>
    </row>
    <row r="48" customFormat="false" ht="14.25" hidden="false" customHeight="true" outlineLevel="0" collapsed="false">
      <c r="A48" s="12" t="n">
        <v>34</v>
      </c>
      <c r="B48" s="9"/>
      <c r="C48" s="13" t="str">
        <f aca="false">IF(B48="","",ROUND((B48-$D$8)*1440,1))</f>
        <v/>
      </c>
      <c r="D48" s="8"/>
      <c r="E48" s="8"/>
    </row>
    <row r="49" customFormat="false" ht="14.25" hidden="false" customHeight="true" outlineLevel="0" collapsed="false">
      <c r="A49" s="12" t="n">
        <v>35</v>
      </c>
      <c r="B49" s="9"/>
      <c r="C49" s="13" t="str">
        <f aca="false">IF(B49="","",ROUND((B49-$D$8)*1440,1))</f>
        <v/>
      </c>
      <c r="D49" s="8"/>
      <c r="E49" s="8"/>
    </row>
    <row r="50" customFormat="false" ht="14.25" hidden="false" customHeight="true" outlineLevel="0" collapsed="false">
      <c r="A50" s="12" t="n">
        <v>36</v>
      </c>
      <c r="B50" s="9"/>
      <c r="C50" s="13" t="str">
        <f aca="false">IF(B50="","",ROUND((B50-$D$8)*1440,1))</f>
        <v/>
      </c>
      <c r="D50" s="8"/>
      <c r="E50" s="8"/>
    </row>
    <row r="51" customFormat="false" ht="14.25" hidden="false" customHeight="true" outlineLevel="0" collapsed="false">
      <c r="A51" s="12" t="n">
        <v>37</v>
      </c>
      <c r="B51" s="9"/>
      <c r="C51" s="13" t="str">
        <f aca="false">IF(B51="","",ROUND((B51-$D$8)*1440,1))</f>
        <v/>
      </c>
      <c r="D51" s="8"/>
      <c r="E51" s="8"/>
    </row>
    <row r="52" customFormat="false" ht="14.25" hidden="false" customHeight="true" outlineLevel="0" collapsed="false">
      <c r="A52" s="14" t="n">
        <v>38</v>
      </c>
      <c r="B52" s="15"/>
      <c r="C52" s="16" t="str">
        <f aca="false">IF(B52="","",ROUND((B52-$D$8)*1440,1))</f>
        <v/>
      </c>
      <c r="D52" s="17"/>
      <c r="E52" s="17"/>
    </row>
    <row r="53" customFormat="false" ht="14.25" hidden="false" customHeight="true" outlineLevel="0" collapsed="false">
      <c r="A53" s="18"/>
      <c r="B53" s="18"/>
      <c r="C53" s="18"/>
      <c r="D53" s="18"/>
      <c r="E53" s="18"/>
    </row>
    <row r="54" customFormat="false" ht="39" hidden="false" customHeight="true" outlineLevel="0" collapsed="false">
      <c r="A54" s="19" t="s">
        <v>21</v>
      </c>
    </row>
    <row r="55" customFormat="false" ht="15" hidden="false" customHeight="true" outlineLevel="0" collapsed="false">
      <c r="A55" s="4" t="s">
        <v>7</v>
      </c>
      <c r="B55" s="4"/>
      <c r="C55" s="4"/>
      <c r="D55" s="20" t="n">
        <f aca="false">IF(D7="","",D7)</f>
        <v>8.4</v>
      </c>
    </row>
    <row r="56" customFormat="false" ht="15" hidden="false" customHeight="true" outlineLevel="0" collapsed="false">
      <c r="A56" s="4" t="s">
        <v>22</v>
      </c>
      <c r="B56" s="4"/>
      <c r="C56" s="4"/>
      <c r="D56" s="20" t="n">
        <f aca="false">D44</f>
        <v>6.08</v>
      </c>
    </row>
    <row r="57" customFormat="false" ht="15" hidden="false" customHeight="true" outlineLevel="0" collapsed="false">
      <c r="A57" s="4" t="s">
        <v>23</v>
      </c>
      <c r="B57" s="4"/>
      <c r="C57" s="4"/>
      <c r="D57" s="13" t="n">
        <f aca="false">C44</f>
        <v>300</v>
      </c>
    </row>
    <row r="58" customFormat="false" ht="15" hidden="false" customHeight="true" outlineLevel="0" collapsed="false">
      <c r="A58" s="4" t="s">
        <v>24</v>
      </c>
      <c r="B58" s="4"/>
      <c r="C58" s="4"/>
      <c r="D58" s="13" t="n">
        <v>30</v>
      </c>
    </row>
    <row r="59" customFormat="false" ht="15" hidden="false" customHeight="true" outlineLevel="0" collapsed="false">
      <c r="A59" s="4" t="s">
        <v>25</v>
      </c>
      <c r="B59" s="4"/>
      <c r="C59" s="4"/>
      <c r="D59" s="21" t="str">
        <f aca="false">IF(D57="","",IF(D57&gt;=D58,"Yes","No"))</f>
        <v>Yes</v>
      </c>
    </row>
    <row r="61" customFormat="false" ht="25.5" hidden="false" customHeight="true" outlineLevel="0" collapsed="false">
      <c r="A61" s="3" t="s">
        <v>26</v>
      </c>
      <c r="B61" s="3"/>
      <c r="C61" s="3"/>
      <c r="D61" s="3"/>
      <c r="E61" s="3"/>
    </row>
  </sheetData>
  <mergeCells count="15">
    <mergeCell ref="A2:F2"/>
    <mergeCell ref="A4:C4"/>
    <mergeCell ref="A5:C5"/>
    <mergeCell ref="A6:C6"/>
    <mergeCell ref="A7:C7"/>
    <mergeCell ref="A8:C8"/>
    <mergeCell ref="A9:C9"/>
    <mergeCell ref="A10:C10"/>
    <mergeCell ref="A11:C11"/>
    <mergeCell ref="A55:C55"/>
    <mergeCell ref="A56:C56"/>
    <mergeCell ref="A57:C57"/>
    <mergeCell ref="A58:C58"/>
    <mergeCell ref="A59:C59"/>
    <mergeCell ref="A61:E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2026-10-15T09:00:44Z</dcterms:created>
  <dc:creator>openpyxl</dc:creator>
  <dc:description/>
  <dc:language>en-US</dc:language>
  <cp:lastModifiedBy/>
  <dcterms:modified xsi:type="dcterms:W3CDTF">2026-10-15T18:30:27Z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