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PM_1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<sst xmlns="http://schemas.openxmlformats.org/spreadsheetml/2006/main" count="28" uniqueCount="23">
  <si>
    <t xml:space="preserve">TPM_10: Deactivation time</t>
  </si>
  <si>
    <t xml:space="preserve">Time from pressing the encoder button to the first retraction LED frame, logged by the firmware (TIMING_TEST = 10), 10 trials.</t>
  </si>
  <si>
    <t xml:space="preserve">Legend: yellow = measured values (Serial Monitor) | blue = settings | other cells calculate automatically.</t>
  </si>
  <si>
    <t xml:space="preserve">Target (ms)</t>
  </si>
  <si>
    <t xml:space="preserve">Long-press hold time (ms)</t>
  </si>
  <si>
    <t xml:space="preserve">Date tested</t>
  </si>
  <si>
    <t xml:space="preserve">2026-10-11</t>
  </si>
  <si>
    <t xml:space="preserve">Trial</t>
  </si>
  <si>
    <t xml:space="preserve">Press -&gt; first retraction LED frame (ms)</t>
  </si>
  <si>
    <t xml:space="preserve">Delay after hold (ms)</t>
  </si>
  <si>
    <t xml:space="preserve">Met (&lt;= target)</t>
  </si>
  <si>
    <t xml:space="preserve">2</t>
  </si>
  <si>
    <t xml:space="preserve">0</t>
  </si>
  <si>
    <t xml:space="preserve">6</t>
  </si>
  <si>
    <t xml:space="preserve">-</t>
  </si>
  <si>
    <t xml:space="preserve">1</t>
  </si>
  <si>
    <t xml:space="preserve">Summary (copy into Table H13)</t>
  </si>
  <si>
    <t xml:space="preserve">Trials</t>
  </si>
  <si>
    <t xml:space="preserve">Mean (ms)</t>
  </si>
  <si>
    <t xml:space="preserve">Min (ms)</t>
  </si>
  <si>
    <t xml:space="preserve">Max (ms)</t>
  </si>
  <si>
    <t xml:space="preserve">Standard deviation (ms)</t>
  </si>
  <si>
    <t xml:space="preserve">Met (all &lt;= target)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</si>
</sst>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666666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ECE1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n">
        <v>1000</v>
      </c>
    </row>
    <row r="6" customFormat="false" ht="15" hidden="false" customHeight="false" outlineLevel="0" collapsed="false">
      <c r="A6" s="4" t="s">
        <v>4</v>
      </c>
      <c r="B6" s="5" t="n">
        <v>800</v>
      </c>
    </row>
    <row r="7" customFormat="false" ht="15" hidden="false" customHeight="false" outlineLevel="0" collapsed="false">
      <c r="A7" s="4" t="s">
        <v>5</v>
      </c>
      <c r="B7" s="6" t="s">
        <v>6</v>
      </c>
    </row>
    <row r="9" customFormat="false" ht="42" hidden="false" customHeight="true" outlineLevel="0" collapsed="false">
      <c r="A9" s="7" t="s">
        <v>7</v>
      </c>
      <c r="B9" s="7" t="s">
        <v>8</v>
      </c>
      <c r="C9" s="7" t="s">
        <v>9</v>
      </c>
      <c r="D9" s="7" t="s">
        <v>10</v>
      </c>
    </row>
    <row r="10" customFormat="false" ht="15" hidden="false" customHeight="false" outlineLevel="0" collapsed="false">
      <c r="A10" s="6" t="n">
        <v>1</v>
      </c>
      <c r="B10" s="8" t="s">
        <v>11</v>
      </c>
      <c r="C10" s="9" t="n">
        <f aca="false">B10-$B$6</f>
        <v>-798</v>
      </c>
      <c r="D10" s="6" t="str">
        <f aca="false">IF(B10&lt;=$B$5,"Yes","No")</f>
        <v>No</v>
      </c>
    </row>
    <row r="11" customFormat="false" ht="15" hidden="false" customHeight="false" outlineLevel="0" collapsed="false">
      <c r="A11" s="6" t="n">
        <v>2</v>
      </c>
      <c r="B11" s="8" t="s">
        <v>12</v>
      </c>
      <c r="C11" s="9" t="n">
        <f aca="false">B11-$B$6</f>
        <v>-800</v>
      </c>
      <c r="D11" s="6" t="str">
        <f aca="false">IF(B11&lt;=$B$5,"Yes","No")</f>
        <v>No</v>
      </c>
    </row>
    <row r="12" customFormat="false" ht="15" hidden="false" customHeight="false" outlineLevel="0" collapsed="false">
      <c r="A12" s="6" t="n">
        <v>3</v>
      </c>
      <c r="B12" s="8" t="s">
        <v>11</v>
      </c>
      <c r="C12" s="9" t="n">
        <f aca="false">B12-$B$6</f>
        <v>-798</v>
      </c>
      <c r="D12" s="6" t="str">
        <f aca="false">IF(B12&lt;=$B$5,"Yes","No")</f>
        <v>No</v>
      </c>
    </row>
    <row r="13" customFormat="false" ht="15" hidden="false" customHeight="false" outlineLevel="0" collapsed="false">
      <c r="A13" s="6" t="n">
        <v>4</v>
      </c>
      <c r="B13" s="8" t="s">
        <v>13</v>
      </c>
      <c r="C13" s="9" t="n">
        <f aca="false">B13-$B$6</f>
        <v>-794</v>
      </c>
      <c r="D13" s="6" t="str">
        <f aca="false">IF(B13&lt;=$B$5,"Yes","No")</f>
        <v>No</v>
      </c>
    </row>
    <row r="14" customFormat="false" ht="15" hidden="false" customHeight="false" outlineLevel="0" collapsed="false">
      <c r="A14" s="6" t="n">
        <v>5</v>
      </c>
      <c r="B14" s="8" t="s">
        <v>14</v>
      </c>
      <c r="C14" s="9" t="e">
        <f aca="false">B14-$B$6</f>
        <v>#VALUE!</v>
      </c>
      <c r="D14" s="6" t="str">
        <f aca="false">IF(B14&lt;=$B$5,"Yes","No")</f>
        <v>No</v>
      </c>
    </row>
    <row r="15" customFormat="false" ht="15" hidden="false" customHeight="false" outlineLevel="0" collapsed="false">
      <c r="A15" s="6" t="n">
        <v>6</v>
      </c>
      <c r="B15" s="8" t="s">
        <v>15</v>
      </c>
      <c r="C15" s="9" t="n">
        <f aca="false">B15-$B$6</f>
        <v>-799</v>
      </c>
      <c r="D15" s="6" t="str">
        <f aca="false">IF(B15&lt;=$B$5,"Yes","No")</f>
        <v>No</v>
      </c>
    </row>
    <row r="16" customFormat="false" ht="15" hidden="false" customHeight="false" outlineLevel="0" collapsed="false">
      <c r="A16" s="6" t="n">
        <v>7</v>
      </c>
      <c r="B16" s="8" t="s">
        <v>12</v>
      </c>
      <c r="C16" s="9" t="n">
        <f aca="false">B16-$B$6</f>
        <v>-800</v>
      </c>
      <c r="D16" s="6" t="str">
        <f aca="false">IF(B16&lt;=$B$5,"Yes","No")</f>
        <v>No</v>
      </c>
    </row>
    <row r="17" customFormat="false" ht="15" hidden="false" customHeight="false" outlineLevel="0" collapsed="false">
      <c r="A17" s="6" t="n">
        <v>8</v>
      </c>
      <c r="B17" s="8" t="s">
        <v>14</v>
      </c>
      <c r="C17" s="9" t="e">
        <f aca="false">B17-$B$6</f>
        <v>#VALUE!</v>
      </c>
      <c r="D17" s="6" t="str">
        <f aca="false">IF(B17&lt;=$B$5,"Yes","No")</f>
        <v>No</v>
      </c>
    </row>
    <row r="18" customFormat="false" ht="15" hidden="false" customHeight="false" outlineLevel="0" collapsed="false">
      <c r="A18" s="6" t="n">
        <v>9</v>
      </c>
      <c r="B18" s="8" t="s">
        <v>15</v>
      </c>
      <c r="C18" s="9" t="n">
        <f aca="false">B18-$B$6</f>
        <v>-799</v>
      </c>
      <c r="D18" s="6" t="str">
        <f aca="false">IF(B18&lt;=$B$5,"Yes","No")</f>
        <v>No</v>
      </c>
    </row>
    <row r="19" customFormat="false" ht="15" hidden="false" customHeight="false" outlineLevel="0" collapsed="false">
      <c r="A19" s="6" t="n">
        <v>10</v>
      </c>
      <c r="B19" s="8" t="s">
        <v>15</v>
      </c>
      <c r="C19" s="9" t="n">
        <f aca="false">B19-$B$6</f>
        <v>-799</v>
      </c>
      <c r="D19" s="6" t="str">
        <f aca="false">IF(B19&lt;=$B$5,"Yes","No")</f>
        <v>No</v>
      </c>
    </row>
    <row r="21" customFormat="false" ht="15" hidden="false" customHeight="false" outlineLevel="0" collapsed="false">
      <c r="A21" s="10" t="s">
        <v>16</v>
      </c>
    </row>
    <row r="22" customFormat="false" ht="15" hidden="false" customHeight="false" outlineLevel="0" collapsed="false">
      <c r="A22" s="4" t="s">
        <v>17</v>
      </c>
      <c r="B22" s="11" t="n">
        <f aca="false">COUNT(B10:B19)</f>
        <v>0</v>
      </c>
    </row>
    <row r="23" customFormat="false" ht="15" hidden="false" customHeight="false" outlineLevel="0" collapsed="false">
      <c r="A23" s="4" t="s">
        <v>18</v>
      </c>
      <c r="B23" s="9" t="e">
        <f aca="false">AVERAGE(B10:B19)</f>
        <v>#DIV/0!</v>
      </c>
    </row>
    <row r="24" customFormat="false" ht="15" hidden="false" customHeight="false" outlineLevel="0" collapsed="false">
      <c r="A24" s="4" t="s">
        <v>19</v>
      </c>
      <c r="B24" s="9" t="n">
        <f aca="false">MIN(B10:B19)</f>
        <v>0</v>
      </c>
    </row>
    <row r="25" customFormat="false" ht="15" hidden="false" customHeight="false" outlineLevel="0" collapsed="false">
      <c r="A25" s="4" t="s">
        <v>20</v>
      </c>
      <c r="B25" s="9" t="n">
        <f aca="false">MAX(B10:B19)</f>
        <v>0</v>
      </c>
    </row>
    <row r="26" customFormat="false" ht="15" hidden="false" customHeight="false" outlineLevel="0" collapsed="false">
      <c r="A26" s="4" t="s">
        <v>21</v>
      </c>
      <c r="B26" s="9" t="e">
        <f aca="false">STDEV(B10:B19)</f>
        <v>#DIV/0!</v>
      </c>
    </row>
    <row r="27" customFormat="false" ht="15" hidden="false" customHeight="false" outlineLevel="0" collapsed="false">
      <c r="A27" s="12" t="s">
        <v>22</v>
      </c>
      <c r="B27" s="13" t="str">
        <f aca="false">IF(MAX(B10:B19)&lt;=$B$5,"Yes","No")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2026-10-11T10:25:43Z</dcterms:created>
  <dc:creator>openpyxl</dc:creator>
  <dc:description/>
  <dc:language>en-US</dc:language>
  <cp:lastModifiedBy/>
  <dcterms:modified xsi:type="dcterms:W3CDTF">2026-10-11T10:25:43Z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