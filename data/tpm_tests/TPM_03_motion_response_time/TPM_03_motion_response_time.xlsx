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M_0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<sst xmlns="http://schemas.openxmlformats.org/spreadsheetml/2006/main" count="27" uniqueCount="27">
  <si>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TPM_03: Motion detection response time</t>
  </si>
  <si>
    <t xml:space="preserve">Time from the raw gyro rate first exceeding the swing threshold to the swing state being set, logged by the firmware (TIMING_TEST = 3, micros() timer).</t>
  </si>
  <si>
    <t xml:space="preserve">Legend: yellow = measured values (from the Serial Monitor) | blue = settings | other cells calculate automatically.</t>
  </si>
  <si>
    <t xml:space="preserve">Settings</t>
  </si>
  <si>
    <t xml:space="preserve">Target (ms)</t>
  </si>
  <si>
    <t xml:space="preserve">TPM_03: response time &lt;= 100 ms</t>
  </si>
  <si>
    <t xml:space="preserve">Swing threshold (deg/s)</t>
  </si>
  <si>
    <t xml:space="preserve">swingStartThreshold (Medium)</t>
  </si>
  <si>
    <t xml:space="preserve">Gyro read interval (ms)</t>
  </si>
  <si>
    <t xml:space="preserve">updateMotion() every 3 ms; timing uncertainty about +/-3 ms</t>
  </si>
  <si>
    <t xml:space="preserve">Date tested</t>
  </si>
  <si>
    <t xml:space="preserve">2026-10-11</t>
  </si>
  <si>
    <t xml:space="preserve">Measurements</t>
  </si>
  <si>
    <t xml:space="preserve">Swing</t>
  </si>
  <si>
    <t xml:space="preserve">Onset -&gt; swing state (ms)</t>
  </si>
  <si>
    <t xml:space="preserve">Met (&lt;= target)</t>
  </si>
  <si>
    <t xml:space="preserve">Notes</t>
  </si>
  <si>
    <t xml:space="preserve">Onset and swing state in the same gyro read (fast start)</t>
  </si>
  <si>
    <t xml:space="preserve">Summary (copy into Table H6)</t>
  </si>
  <si>
    <t xml:space="preserve">Swings</t>
  </si>
  <si>
    <t xml:space="preserve">Mean (ms)</t>
  </si>
  <si>
    <t xml:space="preserve">Median (ms)</t>
  </si>
  <si>
    <t xml:space="preserve">Min (ms)</t>
  </si>
  <si>
    <t xml:space="preserve">Max (ms)</t>
  </si>
  <si>
    <t xml:space="preserve">Standard deviation (ms)</t>
  </si>
  <si>
    <t xml:space="preserve">Swings meeting target</t>
  </si>
  <si>
    <t xml:space="preserve">Met (all swings &lt;= target)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</si>
</sst>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100</v>
      </c>
      <c r="C6" s="3" t="s">
        <v>5</v>
      </c>
    </row>
    <row r="7" customFormat="false" ht="15" hidden="false" customHeight="false" outlineLevel="0" collapsed="false">
      <c r="A7" s="5" t="s">
        <v>6</v>
      </c>
      <c r="B7" s="6" t="n">
        <v>1.8</v>
      </c>
      <c r="C7" s="3" t="s">
        <v>7</v>
      </c>
    </row>
    <row r="8" customFormat="false" ht="15" hidden="false" customHeight="false" outlineLevel="0" collapsed="false">
      <c r="A8" s="5" t="s">
        <v>8</v>
      </c>
      <c r="B8" s="6" t="n">
        <v>3</v>
      </c>
      <c r="C8" s="3" t="s">
        <v>9</v>
      </c>
    </row>
    <row r="9" customFormat="false" ht="15" hidden="false" customHeight="false" outlineLevel="0" collapsed="false">
      <c r="A9" s="5" t="s">
        <v>10</v>
      </c>
      <c r="B9" s="7" t="s">
        <v>11</v>
      </c>
      <c r="C9" s="3"/>
    </row>
    <row r="11" customFormat="false" ht="15" hidden="false" customHeight="false" outlineLevel="0" collapsed="false">
      <c r="A11" s="4" t="s">
        <v>12</v>
      </c>
    </row>
    <row r="12" customFormat="false" ht="30" hidden="false" customHeight="true" outlineLevel="0" collapsed="false">
      <c r="A12" s="8" t="s">
        <v>13</v>
      </c>
      <c r="B12" s="8" t="s">
        <v>14</v>
      </c>
      <c r="C12" s="8" t="s">
        <v>15</v>
      </c>
      <c r="D12" s="8" t="s">
        <v>16</v>
      </c>
    </row>
    <row r="13" customFormat="false" ht="15" hidden="false" customHeight="false" outlineLevel="0" collapsed="false">
      <c r="A13" s="7" t="n">
        <v>1</v>
      </c>
      <c r="B13" s="9" t="n">
        <v>50.9</v>
      </c>
      <c r="C13" s="7" t="str">
        <f aca="false">IF(ISNUMBER(B13),IF(B13&lt;=$B$6,"Yes","No"),"")</f>
        <v>Yes</v>
      </c>
      <c r="D13" s="5"/>
    </row>
    <row r="14" customFormat="false" ht="15" hidden="false" customHeight="false" outlineLevel="0" collapsed="false">
      <c r="A14" s="7" t="n">
        <v>2</v>
      </c>
      <c r="B14" s="9" t="n">
        <v>46.3</v>
      </c>
      <c r="C14" s="7" t="str">
        <f aca="false">IF(ISNUMBER(B14),IF(B14&lt;=$B$6,"Yes","No"),"")</f>
        <v>Yes</v>
      </c>
      <c r="D14" s="5"/>
    </row>
    <row r="15" customFormat="false" ht="15" hidden="false" customHeight="false" outlineLevel="0" collapsed="false">
      <c r="A15" s="7" t="n">
        <v>3</v>
      </c>
      <c r="B15" s="9" t="n">
        <v>73.4</v>
      </c>
      <c r="C15" s="7" t="str">
        <f aca="false">IF(ISNUMBER(B15),IF(B15&lt;=$B$6,"Yes","No"),"")</f>
        <v>Yes</v>
      </c>
      <c r="D15" s="5"/>
    </row>
    <row r="16" customFormat="false" ht="15" hidden="false" customHeight="false" outlineLevel="0" collapsed="false">
      <c r="A16" s="7" t="n">
        <v>4</v>
      </c>
      <c r="B16" s="9" t="n">
        <v>19.4</v>
      </c>
      <c r="C16" s="7" t="str">
        <f aca="false">IF(ISNUMBER(B16),IF(B16&lt;=$B$6,"Yes","No"),"")</f>
        <v>Yes</v>
      </c>
      <c r="D16" s="5"/>
    </row>
    <row r="17" customFormat="false" ht="15" hidden="false" customHeight="false" outlineLevel="0" collapsed="false">
      <c r="A17" s="7" t="n">
        <v>5</v>
      </c>
      <c r="B17" s="9" t="n">
        <v>12.2</v>
      </c>
      <c r="C17" s="7" t="str">
        <f aca="false">IF(ISNUMBER(B17),IF(B17&lt;=$B$6,"Yes","No"),"")</f>
        <v>Yes</v>
      </c>
      <c r="D17" s="5"/>
    </row>
    <row r="18" customFormat="false" ht="15" hidden="false" customHeight="false" outlineLevel="0" collapsed="false">
      <c r="A18" s="7" t="n">
        <v>6</v>
      </c>
      <c r="B18" s="9" t="n">
        <v>53.8</v>
      </c>
      <c r="C18" s="7" t="str">
        <f aca="false">IF(ISNUMBER(B18),IF(B18&lt;=$B$6,"Yes","No"),"")</f>
        <v>Yes</v>
      </c>
      <c r="D18" s="5"/>
    </row>
    <row r="19" customFormat="false" ht="15" hidden="false" customHeight="false" outlineLevel="0" collapsed="false">
      <c r="A19" s="7" t="n">
        <v>7</v>
      </c>
      <c r="B19" s="9" t="n">
        <v>41.6</v>
      </c>
      <c r="C19" s="7" t="str">
        <f aca="false">IF(ISNUMBER(B19),IF(B19&lt;=$B$6,"Yes","No"),"")</f>
        <v>Yes</v>
      </c>
      <c r="D19" s="5"/>
    </row>
    <row r="20" customFormat="false" ht="15" hidden="false" customHeight="false" outlineLevel="0" collapsed="false">
      <c r="A20" s="7" t="n">
        <v>8</v>
      </c>
      <c r="B20" s="9" t="n">
        <v>39.8</v>
      </c>
      <c r="C20" s="7" t="str">
        <f aca="false">IF(ISNUMBER(B20),IF(B20&lt;=$B$6,"Yes","No"),"")</f>
        <v>Yes</v>
      </c>
      <c r="D20" s="5"/>
    </row>
    <row r="21" customFormat="false" ht="15" hidden="false" customHeight="false" outlineLevel="0" collapsed="false">
      <c r="A21" s="7" t="n">
        <v>9</v>
      </c>
      <c r="B21" s="9" t="n">
        <v>116.3</v>
      </c>
      <c r="C21" s="7" t="str">
        <f aca="false">IF(ISNUMBER(B21),IF(B21&lt;=$B$6,"Yes","No"),"")</f>
        <v>No</v>
      </c>
      <c r="D21" s="5"/>
    </row>
    <row r="22" customFormat="false" ht="15" hidden="false" customHeight="false" outlineLevel="0" collapsed="false">
      <c r="A22" s="7" t="n">
        <v>10</v>
      </c>
      <c r="B22" s="9" t="n">
        <v>86</v>
      </c>
      <c r="C22" s="7" t="str">
        <f aca="false">IF(ISNUMBER(B22),IF(B22&lt;=$B$6,"Yes","No"),"")</f>
        <v>Yes</v>
      </c>
      <c r="D22" s="5"/>
    </row>
    <row r="23" customFormat="false" ht="15" hidden="false" customHeight="false" outlineLevel="0" collapsed="false">
      <c r="A23" s="7" t="n">
        <v>11</v>
      </c>
      <c r="B23" s="9" t="n">
        <v>92.8</v>
      </c>
      <c r="C23" s="7" t="str">
        <f aca="false">IF(ISNUMBER(B23),IF(B23&lt;=$B$6,"Yes","No"),"")</f>
        <v>Yes</v>
      </c>
      <c r="D23" s="5"/>
    </row>
    <row r="24" customFormat="false" ht="15" hidden="false" customHeight="false" outlineLevel="0" collapsed="false">
      <c r="A24" s="7" t="n">
        <v>12</v>
      </c>
      <c r="B24" s="9" t="n">
        <v>93.1</v>
      </c>
      <c r="C24" s="7" t="str">
        <f aca="false">IF(ISNUMBER(B24),IF(B24&lt;=$B$6,"Yes","No"),"")</f>
        <v>Yes</v>
      </c>
      <c r="D24" s="5"/>
    </row>
    <row r="25" customFormat="false" ht="15" hidden="false" customHeight="false" outlineLevel="0" collapsed="false">
      <c r="A25" s="7" t="n">
        <v>13</v>
      </c>
      <c r="B25" s="9" t="n">
        <v>81.1</v>
      </c>
      <c r="C25" s="7" t="str">
        <f aca="false">IF(ISNUMBER(B25),IF(B25&lt;=$B$6,"Yes","No"),"")</f>
        <v>Yes</v>
      </c>
      <c r="D25" s="5"/>
    </row>
    <row r="26" customFormat="false" ht="15" hidden="false" customHeight="false" outlineLevel="0" collapsed="false">
      <c r="A26" s="7" t="n">
        <v>14</v>
      </c>
      <c r="B26" s="9" t="n">
        <v>104.6</v>
      </c>
      <c r="C26" s="7" t="str">
        <f aca="false">IF(ISNUMBER(B26),IF(B26&lt;=$B$6,"Yes","No"),"")</f>
        <v>No</v>
      </c>
      <c r="D26" s="5"/>
    </row>
    <row r="27" customFormat="false" ht="15" hidden="false" customHeight="false" outlineLevel="0" collapsed="false">
      <c r="A27" s="7" t="n">
        <v>15</v>
      </c>
      <c r="B27" s="9" t="n">
        <v>64.8</v>
      </c>
      <c r="C27" s="7" t="str">
        <f aca="false">IF(ISNUMBER(B27),IF(B27&lt;=$B$6,"Yes","No"),"")</f>
        <v>Yes</v>
      </c>
      <c r="D27" s="5"/>
    </row>
    <row r="28" customFormat="false" ht="15" hidden="false" customHeight="false" outlineLevel="0" collapsed="false">
      <c r="A28" s="7" t="n">
        <v>16</v>
      </c>
      <c r="B28" s="9" t="n">
        <v>62.5</v>
      </c>
      <c r="C28" s="7" t="str">
        <f aca="false">IF(ISNUMBER(B28),IF(B28&lt;=$B$6,"Yes","No"),"")</f>
        <v>Yes</v>
      </c>
      <c r="D28" s="5"/>
    </row>
    <row r="29" customFormat="false" ht="15" hidden="false" customHeight="false" outlineLevel="0" collapsed="false">
      <c r="A29" s="7" t="n">
        <v>17</v>
      </c>
      <c r="B29" s="9" t="n">
        <v>0.2</v>
      </c>
      <c r="C29" s="7" t="str">
        <f aca="false">IF(ISNUMBER(B29),IF(B29&lt;=$B$6,"Yes","No"),"")</f>
        <v>Yes</v>
      </c>
      <c r="D29" s="5" t="s">
        <v>17</v>
      </c>
    </row>
    <row r="30" customFormat="false" ht="15" hidden="false" customHeight="false" outlineLevel="0" collapsed="false">
      <c r="A30" s="7" t="n">
        <v>18</v>
      </c>
      <c r="B30" s="9" t="n">
        <v>74.5</v>
      </c>
      <c r="C30" s="7" t="str">
        <f aca="false">IF(ISNUMBER(B30),IF(B30&lt;=$B$6,"Yes","No"),"")</f>
        <v>Yes</v>
      </c>
      <c r="D30" s="5"/>
    </row>
    <row r="31" customFormat="false" ht="15" hidden="false" customHeight="false" outlineLevel="0" collapsed="false">
      <c r="A31" s="7" t="n">
        <v>19</v>
      </c>
      <c r="B31" s="9" t="n">
        <v>28.6</v>
      </c>
      <c r="C31" s="7" t="str">
        <f aca="false">IF(ISNUMBER(B31),IF(B31&lt;=$B$6,"Yes","No"),"")</f>
        <v>Yes</v>
      </c>
      <c r="D31" s="5"/>
    </row>
    <row r="32" customFormat="false" ht="15" hidden="false" customHeight="false" outlineLevel="0" collapsed="false">
      <c r="A32" s="7" t="n">
        <v>20</v>
      </c>
      <c r="B32" s="9" t="n">
        <v>58.5</v>
      </c>
      <c r="C32" s="7" t="str">
        <f aca="false">IF(ISNUMBER(B32),IF(B32&lt;=$B$6,"Yes","No"),"")</f>
        <v>Yes</v>
      </c>
      <c r="D32" s="5"/>
    </row>
    <row r="34" customFormat="false" ht="15" hidden="false" customHeight="false" outlineLevel="0" collapsed="false">
      <c r="A34" s="4" t="s">
        <v>18</v>
      </c>
    </row>
    <row r="35" customFormat="false" ht="15" hidden="false" customHeight="false" outlineLevel="0" collapsed="false">
      <c r="A35" s="5" t="s">
        <v>19</v>
      </c>
      <c r="B35" s="10" t="n">
        <f aca="false">COUNT(B13:B32)</f>
        <v>20</v>
      </c>
    </row>
    <row r="36" customFormat="false" ht="15" hidden="false" customHeight="false" outlineLevel="0" collapsed="false">
      <c r="A36" s="5" t="s">
        <v>20</v>
      </c>
      <c r="B36" s="11" t="n">
        <f aca="false">AVERAGE(B13:B32)</f>
        <v>60.02</v>
      </c>
    </row>
    <row r="37" customFormat="false" ht="15" hidden="false" customHeight="false" outlineLevel="0" collapsed="false">
      <c r="A37" s="5" t="s">
        <v>21</v>
      </c>
      <c r="B37" s="11" t="n">
        <f aca="false">MEDIAN(B13:B32)</f>
        <v>60.5</v>
      </c>
    </row>
    <row r="38" customFormat="false" ht="15" hidden="false" customHeight="false" outlineLevel="0" collapsed="false">
      <c r="A38" s="5" t="s">
        <v>22</v>
      </c>
      <c r="B38" s="11" t="n">
        <f aca="false">MIN(B13:B32)</f>
        <v>0.2</v>
      </c>
    </row>
    <row r="39" customFormat="false" ht="15" hidden="false" customHeight="false" outlineLevel="0" collapsed="false">
      <c r="A39" s="5" t="s">
        <v>23</v>
      </c>
      <c r="B39" s="11" t="n">
        <f aca="false">MAX(B13:B32)</f>
        <v>116.3</v>
      </c>
    </row>
    <row r="40" customFormat="false" ht="15" hidden="false" customHeight="false" outlineLevel="0" collapsed="false">
      <c r="A40" s="5" t="s">
        <v>24</v>
      </c>
      <c r="B40" s="11" t="n">
        <f aca="false">STDEV(B13:B32)</f>
        <v>31.1394081003815</v>
      </c>
    </row>
    <row r="41" customFormat="false" ht="15" hidden="false" customHeight="false" outlineLevel="0" collapsed="false">
      <c r="A41" s="5" t="s">
        <v>25</v>
      </c>
      <c r="B41" s="7" t="str">
        <f aca="false">COUNTIF(C13:C32,"Yes")&amp;" / "&amp;COUNT(B13:B32)</f>
        <v>18 / 20</v>
      </c>
    </row>
    <row r="42" customFormat="false" ht="15" hidden="false" customHeight="false" outlineLevel="0" collapsed="false">
      <c r="A42" s="12" t="s">
        <v>26</v>
      </c>
      <c r="B42" s="13" t="str">
        <f aca="false">IF(MAX(B13:B32)&lt;=$B$6,"Yes","No")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2026-10-11T09:30:17Z</dcterms:created>
  <dc:creator>openpyxl</dc:creator>
  <dc:description/>
  <dc:language>en-US</dc:language>
  <cp:lastModifiedBy/>
  <dcterms:modified xsi:type="dcterms:W3CDTF">2026-10-11T09:30:17Z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