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<sst xmlns="http://schemas.openxmlformats.org/spreadsheetml/2006/main" count="29" uniqueCount="29">
  <si>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TPM_01: Activation time test</t>
  </si>
  <si>
    <t xml:space="preserve">Time from pressing the encoder button to the first ignition LED frame, logged by the firmware (TIMING_TEST = 1, micros() timer), 10 trials.</t>
  </si>
  <si>
    <t xml:space="preserve">Legend: yellow = measured values (from the Serial Monitor) | blue = settings | other cells calculate automatically.</t>
  </si>
  <si>
    <t xml:space="preserve">Settings</t>
  </si>
  <si>
    <t xml:space="preserve">Target (ms)</t>
  </si>
  <si>
    <t xml:space="preserve">TPM_01: activation time &lt;= 1 s</t>
  </si>
  <si>
    <t xml:space="preserve">Long-press hold time (ms)</t>
  </si>
  <si>
    <t xml:space="preserve">LONG_PRESS_TIME in Lightsaber_Main.ino</t>
  </si>
  <si>
    <t xml:space="preserve">Date tested</t>
  </si>
  <si>
    <t xml:space="preserve">2026-10-11</t>
  </si>
  <si>
    <t xml:space="preserve">Firmware</t>
  </si>
  <si>
    <t xml:space="preserve">Lightsaber_Main.ino with TIMING_TEST = 1</t>
  </si>
  <si>
    <t xml:space="preserve">Measurements</t>
  </si>
  <si>
    <t xml:space="preserve">Trial</t>
  </si>
  <si>
    <t xml:space="preserve">Press -&gt; first LED (ms)</t>
  </si>
  <si>
    <t xml:space="preserve">Delay after hold (ms)</t>
  </si>
  <si>
    <t xml:space="preserve">Met (&lt;= target)</t>
  </si>
  <si>
    <t xml:space="preserve">Notes</t>
  </si>
  <si>
    <t xml:space="preserve">First ignition after power-up</t>
  </si>
  <si>
    <t xml:space="preserve">Summary (copy into Table H4)</t>
  </si>
  <si>
    <t xml:space="preserve">Trials</t>
  </si>
  <si>
    <t xml:space="preserve">Mean (ms)</t>
  </si>
  <si>
    <t xml:space="preserve">Min (ms)</t>
  </si>
  <si>
    <t xml:space="preserve">Max (ms)</t>
  </si>
  <si>
    <t xml:space="preserve">Standard deviation (ms)</t>
  </si>
  <si>
    <t xml:space="preserve">Trials meeting target</t>
  </si>
  <si>
    <t xml:space="preserve">Met (all trials &lt;= target)</t>
  </si>
  <si>
    <t xml:space="preserve">Mean excluding trial 1 (ms)</t>
  </si>
  <si>
    <t xml:space="preserve">Max excluding trial 1 (ms)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</si>
</sst>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1000</v>
      </c>
      <c r="C6" s="3" t="s">
        <v>5</v>
      </c>
    </row>
    <row r="7" customFormat="false" ht="15" hidden="false" customHeight="false" outlineLevel="0" collapsed="false">
      <c r="A7" s="5" t="s">
        <v>6</v>
      </c>
      <c r="B7" s="6" t="n">
        <v>800</v>
      </c>
      <c r="C7" s="3" t="s">
        <v>7</v>
      </c>
    </row>
    <row r="8" customFormat="false" ht="15" hidden="false" customHeight="false" outlineLevel="0" collapsed="false">
      <c r="A8" s="5" t="s">
        <v>8</v>
      </c>
      <c r="B8" s="7" t="s">
        <v>9</v>
      </c>
      <c r="C8" s="3"/>
    </row>
    <row r="9" customFormat="false" ht="23.85" hidden="false" customHeight="false" outlineLevel="0" collapsed="false">
      <c r="A9" s="5" t="s">
        <v>10</v>
      </c>
      <c r="B9" s="7" t="s">
        <v>11</v>
      </c>
      <c r="C9" s="3"/>
    </row>
    <row r="11" customFormat="false" ht="15" hidden="false" customHeight="false" outlineLevel="0" collapsed="false">
      <c r="A11" s="4" t="s">
        <v>12</v>
      </c>
    </row>
    <row r="12" customFormat="false" ht="30" hidden="false" customHeight="true" outlineLevel="0" collapsed="false">
      <c r="A12" s="8" t="s">
        <v>13</v>
      </c>
      <c r="B12" s="8" t="s">
        <v>14</v>
      </c>
      <c r="C12" s="8" t="s">
        <v>15</v>
      </c>
      <c r="D12" s="8" t="s">
        <v>16</v>
      </c>
      <c r="E12" s="8" t="s">
        <v>17</v>
      </c>
    </row>
    <row r="13" customFormat="false" ht="15" hidden="false" customHeight="false" outlineLevel="0" collapsed="false">
      <c r="A13" s="7" t="n">
        <v>1</v>
      </c>
      <c r="B13" s="9" t="n">
        <v>1592.8</v>
      </c>
      <c r="C13" s="10" t="n">
        <f aca="false">IF(ISNUMBER(B13),B13-$B$7,"")</f>
        <v>792.8</v>
      </c>
      <c r="D13" s="7" t="str">
        <f aca="false">IF(ISNUMBER(B13),IF(B13&lt;=$B$6,"Yes","No"),"")</f>
        <v>No</v>
      </c>
      <c r="E13" s="5" t="s">
        <v>18</v>
      </c>
    </row>
    <row r="14" customFormat="false" ht="15" hidden="false" customHeight="false" outlineLevel="0" collapsed="false">
      <c r="A14" s="7" t="n">
        <v>2</v>
      </c>
      <c r="B14" s="9" t="n">
        <v>913.6</v>
      </c>
      <c r="C14" s="10" t="n">
        <f aca="false">IF(ISNUMBER(B14),B14-$B$7,"")</f>
        <v>113.6</v>
      </c>
      <c r="D14" s="7" t="str">
        <f aca="false">IF(ISNUMBER(B14),IF(B14&lt;=$B$6,"Yes","No"),"")</f>
        <v>Yes</v>
      </c>
      <c r="E14" s="5"/>
    </row>
    <row r="15" customFormat="false" ht="15" hidden="false" customHeight="false" outlineLevel="0" collapsed="false">
      <c r="A15" s="7" t="n">
        <v>3</v>
      </c>
      <c r="B15" s="9" t="n">
        <v>820.6</v>
      </c>
      <c r="C15" s="10" t="n">
        <f aca="false">IF(ISNUMBER(B15),B15-$B$7,"")</f>
        <v>20.6</v>
      </c>
      <c r="D15" s="7" t="str">
        <f aca="false">IF(ISNUMBER(B15),IF(B15&lt;=$B$6,"Yes","No"),"")</f>
        <v>Yes</v>
      </c>
      <c r="E15" s="5"/>
    </row>
    <row r="16" customFormat="false" ht="15" hidden="false" customHeight="false" outlineLevel="0" collapsed="false">
      <c r="A16" s="7" t="n">
        <v>4</v>
      </c>
      <c r="B16" s="9" t="n">
        <v>809</v>
      </c>
      <c r="C16" s="10" t="n">
        <f aca="false">IF(ISNUMBER(B16),B16-$B$7,"")</f>
        <v>9</v>
      </c>
      <c r="D16" s="7" t="str">
        <f aca="false">IF(ISNUMBER(B16),IF(B16&lt;=$B$6,"Yes","No"),"")</f>
        <v>Yes</v>
      </c>
      <c r="E16" s="5"/>
    </row>
    <row r="17" customFormat="false" ht="15" hidden="false" customHeight="false" outlineLevel="0" collapsed="false">
      <c r="A17" s="7" t="n">
        <v>5</v>
      </c>
      <c r="B17" s="9" t="n">
        <v>869.5</v>
      </c>
      <c r="C17" s="10" t="n">
        <f aca="false">IF(ISNUMBER(B17),B17-$B$7,"")</f>
        <v>69.5</v>
      </c>
      <c r="D17" s="7" t="str">
        <f aca="false">IF(ISNUMBER(B17),IF(B17&lt;=$B$6,"Yes","No"),"")</f>
        <v>Yes</v>
      </c>
      <c r="E17" s="5"/>
    </row>
    <row r="18" customFormat="false" ht="15" hidden="false" customHeight="false" outlineLevel="0" collapsed="false">
      <c r="A18" s="7" t="n">
        <v>6</v>
      </c>
      <c r="B18" s="9" t="n">
        <v>917.5</v>
      </c>
      <c r="C18" s="10" t="n">
        <f aca="false">IF(ISNUMBER(B18),B18-$B$7,"")</f>
        <v>117.5</v>
      </c>
      <c r="D18" s="7" t="str">
        <f aca="false">IF(ISNUMBER(B18),IF(B18&lt;=$B$6,"Yes","No"),"")</f>
        <v>Yes</v>
      </c>
      <c r="E18" s="5"/>
    </row>
    <row r="19" customFormat="false" ht="15" hidden="false" customHeight="false" outlineLevel="0" collapsed="false">
      <c r="A19" s="7" t="n">
        <v>7</v>
      </c>
      <c r="B19" s="9" t="n">
        <v>816.4</v>
      </c>
      <c r="C19" s="10" t="n">
        <f aca="false">IF(ISNUMBER(B19),B19-$B$7,"")</f>
        <v>16.4</v>
      </c>
      <c r="D19" s="7" t="str">
        <f aca="false">IF(ISNUMBER(B19),IF(B19&lt;=$B$6,"Yes","No"),"")</f>
        <v>Yes</v>
      </c>
      <c r="E19" s="5"/>
    </row>
    <row r="20" customFormat="false" ht="15" hidden="false" customHeight="false" outlineLevel="0" collapsed="false">
      <c r="A20" s="7" t="n">
        <v>8</v>
      </c>
      <c r="B20" s="9" t="n">
        <v>956.6</v>
      </c>
      <c r="C20" s="10" t="n">
        <f aca="false">IF(ISNUMBER(B20),B20-$B$7,"")</f>
        <v>156.6</v>
      </c>
      <c r="D20" s="7" t="str">
        <f aca="false">IF(ISNUMBER(B20),IF(B20&lt;=$B$6,"Yes","No"),"")</f>
        <v>Yes</v>
      </c>
      <c r="E20" s="5"/>
    </row>
    <row r="21" customFormat="false" ht="15" hidden="false" customHeight="false" outlineLevel="0" collapsed="false">
      <c r="A21" s="7" t="n">
        <v>9</v>
      </c>
      <c r="B21" s="9" t="n">
        <v>809.1</v>
      </c>
      <c r="C21" s="10" t="n">
        <f aca="false">IF(ISNUMBER(B21),B21-$B$7,"")</f>
        <v>9.10000000000002</v>
      </c>
      <c r="D21" s="7" t="str">
        <f aca="false">IF(ISNUMBER(B21),IF(B21&lt;=$B$6,"Yes","No"),"")</f>
        <v>Yes</v>
      </c>
      <c r="E21" s="5"/>
    </row>
    <row r="22" customFormat="false" ht="15" hidden="false" customHeight="false" outlineLevel="0" collapsed="false">
      <c r="A22" s="7" t="n">
        <v>10</v>
      </c>
      <c r="B22" s="9" t="n">
        <v>927.5</v>
      </c>
      <c r="C22" s="10" t="n">
        <f aca="false">IF(ISNUMBER(B22),B22-$B$7,"")</f>
        <v>127.5</v>
      </c>
      <c r="D22" s="7" t="str">
        <f aca="false">IF(ISNUMBER(B22),IF(B22&lt;=$B$6,"Yes","No"),"")</f>
        <v>Yes</v>
      </c>
      <c r="E22" s="5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5" t="s">
        <v>20</v>
      </c>
      <c r="B25" s="11" t="n">
        <f aca="false">COUNT(B13:B22)</f>
        <v>10</v>
      </c>
    </row>
    <row r="26" customFormat="false" ht="15" hidden="false" customHeight="false" outlineLevel="0" collapsed="false">
      <c r="A26" s="5" t="s">
        <v>21</v>
      </c>
      <c r="B26" s="10" t="n">
        <f aca="false">AVERAGE(B13:B22)</f>
        <v>943.26</v>
      </c>
    </row>
    <row r="27" customFormat="false" ht="15" hidden="false" customHeight="false" outlineLevel="0" collapsed="false">
      <c r="A27" s="5" t="s">
        <v>22</v>
      </c>
      <c r="B27" s="10" t="n">
        <f aca="false">MIN(B13:B22)</f>
        <v>809</v>
      </c>
    </row>
    <row r="28" customFormat="false" ht="15" hidden="false" customHeight="false" outlineLevel="0" collapsed="false">
      <c r="A28" s="5" t="s">
        <v>23</v>
      </c>
      <c r="B28" s="10" t="n">
        <f aca="false">MAX(B13:B22)</f>
        <v>1592.8</v>
      </c>
    </row>
    <row r="29" customFormat="false" ht="15" hidden="false" customHeight="false" outlineLevel="0" collapsed="false">
      <c r="A29" s="5" t="s">
        <v>24</v>
      </c>
      <c r="B29" s="10" t="n">
        <f aca="false">STDEV(B13:B22)</f>
        <v>234.870168390964</v>
      </c>
    </row>
    <row r="30" customFormat="false" ht="15" hidden="false" customHeight="false" outlineLevel="0" collapsed="false">
      <c r="A30" s="5" t="s">
        <v>25</v>
      </c>
      <c r="B30" s="7" t="str">
        <f aca="false">COUNTIF(D13:D22,"Yes")&amp;" / "&amp;COUNT(B13:B22)</f>
        <v>9 / 10</v>
      </c>
    </row>
    <row r="31" customFormat="false" ht="15" hidden="false" customHeight="false" outlineLevel="0" collapsed="false">
      <c r="A31" s="12" t="s">
        <v>26</v>
      </c>
      <c r="B31" s="13" t="str">
        <f aca="false">IF(MAX(B13:B22)&lt;=$B$6,"Yes","No")</f>
        <v>No</v>
      </c>
    </row>
    <row r="32" customFormat="false" ht="15" hidden="false" customHeight="false" outlineLevel="0" collapsed="false">
      <c r="A32" s="5" t="s">
        <v>27</v>
      </c>
      <c r="B32" s="10" t="n">
        <f aca="false">AVERAGE(B14:B22)</f>
        <v>871.088888888889</v>
      </c>
    </row>
    <row r="33" customFormat="false" ht="15" hidden="false" customHeight="false" outlineLevel="0" collapsed="false">
      <c r="A33" s="5" t="s">
        <v>28</v>
      </c>
      <c r="B33" s="10" t="n">
        <f aca="false">MAX(B14:B22)</f>
        <v>956.6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2026-10-11T08:15:50Z</dcterms:created>
  <dc:creator>openpyxl</dc:creator>
  <dc:description/>
  <dc:language>en-US</dc:language>
  <cp:lastModifiedBy/>
  <dcterms:modified xsi:type="dcterms:W3CDTF">2026-10-11T08:15:50Z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