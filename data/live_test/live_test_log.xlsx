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061e8981d49c3d1/Desktop/Skripsie/Code/"/>
    </mc:Choice>
  </mc:AlternateContent>
  <xr:revisionPtr revIDLastSave="35" documentId="8_{5E534B3E-6012-42E1-A59A-75A3E0BEA109}" xr6:coauthVersionLast="47" xr6:coauthVersionMax="47" xr10:uidLastSave="{F6795750-B265-4837-AEBC-8172EB94C0F9}"/>
  <bookViews>
    <workbookView xWindow="-110" yWindow="-110" windowWidth="25820" windowHeight="15500" tabRatio="500" xr2:uid="{00000000-000D-0000-FFFF-FFFF00000000}"/>
  </bookViews>
  <sheets>
    <sheet name="Live Test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C6" i="2"/>
  <c r="G6" i="2"/>
  <c r="B7" i="2"/>
  <c r="B8" i="2" s="1"/>
  <c r="C7" i="2"/>
  <c r="G7" i="2"/>
  <c r="G8" i="2"/>
  <c r="B12" i="2"/>
  <c r="C12" i="2"/>
  <c r="D12" i="2"/>
  <c r="B13" i="2"/>
  <c r="C13" i="2"/>
  <c r="D13" i="2"/>
  <c r="B14" i="2"/>
  <c r="C14" i="2"/>
  <c r="D14" i="2"/>
  <c r="B18" i="2"/>
  <c r="C18" i="2"/>
  <c r="B19" i="2"/>
  <c r="C19" i="2"/>
  <c r="B20" i="2"/>
  <c r="C20" i="2"/>
  <c r="B24" i="2"/>
  <c r="C24" i="2"/>
  <c r="D24" i="2"/>
  <c r="E24" i="2"/>
  <c r="B25" i="2"/>
  <c r="C25" i="2"/>
  <c r="D25" i="2"/>
  <c r="E25" i="2"/>
  <c r="B26" i="2"/>
  <c r="C26" i="2"/>
  <c r="D26" i="2"/>
  <c r="E26" i="2"/>
  <c r="B30" i="2"/>
  <c r="C30" i="2"/>
  <c r="D30" i="2"/>
  <c r="E30" i="2"/>
  <c r="B31" i="2"/>
  <c r="C31" i="2"/>
  <c r="D31" i="2"/>
  <c r="E31" i="2"/>
  <c r="B32" i="2"/>
  <c r="C32" i="2"/>
  <c r="D32" i="2"/>
  <c r="E32" i="2"/>
  <c r="B34" i="2"/>
  <c r="D7" i="2" l="1"/>
  <c r="D18" i="2"/>
  <c r="H8" i="2"/>
  <c r="H7" i="2"/>
  <c r="F7" i="2"/>
  <c r="E7" i="2"/>
  <c r="C8" i="2"/>
  <c r="F8" i="2" s="1"/>
  <c r="D6" i="2"/>
  <c r="D19" i="2"/>
  <c r="D20" i="2"/>
  <c r="H6" i="2"/>
  <c r="F6" i="2"/>
  <c r="E6" i="2"/>
  <c r="D8" i="2" l="1"/>
  <c r="E8" i="2"/>
</calcChain>
</file>

<file path=xl/sharedStrings.xml><?xml version="1.0" encoding="utf-8"?>
<sst xmlns="http://schemas.openxmlformats.org/spreadsheetml/2006/main" count="351" uniqueCount="35">
  <si>
    <t>Clash Classifier – Live Test (horizontal and vertical)</t>
  </si>
  <si>
    <t>Clash #</t>
  </si>
  <si>
    <t>Orientation</t>
  </si>
  <si>
    <t>Strength</t>
  </si>
  <si>
    <t>Horizontal</t>
  </si>
  <si>
    <t>Top</t>
  </si>
  <si>
    <t>Hard</t>
  </si>
  <si>
    <t>Y</t>
  </si>
  <si>
    <t>Bottom</t>
  </si>
  <si>
    <t>Medium</t>
  </si>
  <si>
    <t>Light</t>
  </si>
  <si>
    <t>Middle</t>
  </si>
  <si>
    <t>Vertical</t>
  </si>
  <si>
    <t>Live Test Results</t>
  </si>
  <si>
    <t>Calculated from the Live Test sheet – nothing to fill in here.</t>
  </si>
  <si>
    <t>Table for the report</t>
  </si>
  <si>
    <t>Clashes</t>
  </si>
  <si>
    <t>Correct</t>
  </si>
  <si>
    <t>Accuracy</t>
  </si>
  <si>
    <t>95% CI low</t>
  </si>
  <si>
    <t>95% CI high</t>
  </si>
  <si>
    <t>Not detected</t>
  </si>
  <si>
    <t>Detection rate</t>
  </si>
  <si>
    <t>Total</t>
  </si>
  <si>
    <t>Accuracy per zone</t>
  </si>
  <si>
    <t>Zone struck</t>
  </si>
  <si>
    <t>Accuracy per strength</t>
  </si>
  <si>
    <t>Confusion matrix – Horizontal (needs "Zone shown on blade")</t>
  </si>
  <si>
    <t>Struck \ Shown</t>
  </si>
  <si>
    <t>None</t>
  </si>
  <si>
    <t>Confusion matrix – Vertical (needs "Zone shown on blade")</t>
  </si>
  <si>
    <t>Rows to check (Y/N disagrees with zone shown)</t>
  </si>
  <si>
    <t>N</t>
  </si>
  <si>
    <t>Correct (Y/N)</t>
  </si>
  <si>
    <t xml:space="preserve">Zone shown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</si>
</sst>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i/>
      <sz val="10"/>
      <color rgb="FF40404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989FC7-F5F3-43F1-88EA-AE91A38A5E3B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0ef9fa5-fdf0-40df-a5f7-87d8310ea2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96" zoomScaleNormal="100" workbookViewId="0">
      <pane ySplit="1" topLeftCell="A2" activePane="bottomLeft" state="frozen"/>
      <selection pane="bottomLeft" activeCell="H6" sqref="H6"/>
    </sheetView>
  </sheetViews>
  <sheetFormatPr defaultColWidth="8.6328125" defaultRowHeight="14.5" x14ac:dyDescent="0.35"/>
  <cols>
    <col min="1" max="1" width="9" customWidth="1"/>
    <col min="2" max="2" width="13" customWidth="1"/>
    <col min="3" max="3" width="12" customWidth="1"/>
    <col min="4" max="4" width="11" customWidth="1"/>
    <col min="5" max="5" width="18" customWidth="1"/>
    <col min="6" max="6" width="14" customWidth="1"/>
    <col min="7" max="7" width="8" customWidth="1"/>
  </cols>
  <sheetData>
    <row r="1" spans="1:6" ht="18" x14ac:dyDescent="0.4">
      <c r="A1" s="1" t="s">
        <v>0</v>
      </c>
    </row>
    <row r="2" spans="1:6" x14ac:dyDescent="0.35">
      <c r="A2" s="10" t="s">
        <v>1</v>
      </c>
      <c r="B2" s="12" t="s">
        <v>2</v>
      </c>
      <c r="C2" s="10" t="s">
        <v>25</v>
      </c>
      <c r="D2" s="10" t="s">
        <v>3</v>
      </c>
      <c r="E2" s="13" t="s">
        <v>34</v>
      </c>
      <c r="F2" s="13" t="s">
        <v>33</v>
      </c>
    </row>
    <row r="3" spans="1:6" x14ac:dyDescent="0.35">
      <c r="A3" s="5">
        <v>1</v>
      </c>
      <c r="B3" s="6" t="s">
        <v>4</v>
      </c>
      <c r="C3" s="5" t="s">
        <v>5</v>
      </c>
      <c r="D3" s="5" t="s">
        <v>10</v>
      </c>
      <c r="E3" s="3" t="s">
        <v>5</v>
      </c>
      <c r="F3" s="3" t="s">
        <v>7</v>
      </c>
    </row>
    <row r="4" spans="1:6" x14ac:dyDescent="0.35">
      <c r="A4" s="5">
        <v>2</v>
      </c>
      <c r="B4" s="6" t="s">
        <v>4</v>
      </c>
      <c r="C4" s="5" t="s">
        <v>8</v>
      </c>
      <c r="D4" s="5" t="s">
        <v>9</v>
      </c>
      <c r="E4" s="3" t="s">
        <v>8</v>
      </c>
      <c r="F4" s="3" t="s">
        <v>7</v>
      </c>
    </row>
    <row r="5" spans="1:6" x14ac:dyDescent="0.35">
      <c r="A5" s="5">
        <v>3</v>
      </c>
      <c r="B5" s="6" t="s">
        <v>4</v>
      </c>
      <c r="C5" s="5" t="s">
        <v>8</v>
      </c>
      <c r="D5" s="5" t="s">
        <v>10</v>
      </c>
      <c r="E5" s="3" t="s">
        <v>8</v>
      </c>
      <c r="F5" s="3" t="s">
        <v>7</v>
      </c>
    </row>
    <row r="6" spans="1:6" x14ac:dyDescent="0.35">
      <c r="A6" s="5">
        <v>4</v>
      </c>
      <c r="B6" s="6" t="s">
        <v>4</v>
      </c>
      <c r="C6" s="5" t="s">
        <v>11</v>
      </c>
      <c r="D6" s="5" t="s">
        <v>10</v>
      </c>
      <c r="E6" s="3" t="s">
        <v>11</v>
      </c>
      <c r="F6" s="3" t="s">
        <v>7</v>
      </c>
    </row>
    <row r="7" spans="1:6" x14ac:dyDescent="0.35">
      <c r="A7" s="5">
        <v>5</v>
      </c>
      <c r="B7" s="6" t="s">
        <v>4</v>
      </c>
      <c r="C7" s="5" t="s">
        <v>11</v>
      </c>
      <c r="D7" s="5" t="s">
        <v>9</v>
      </c>
      <c r="E7" s="3" t="s">
        <v>11</v>
      </c>
      <c r="F7" s="3" t="s">
        <v>7</v>
      </c>
    </row>
    <row r="8" spans="1:6" x14ac:dyDescent="0.35">
      <c r="A8" s="5">
        <v>7</v>
      </c>
      <c r="B8" s="6" t="s">
        <v>4</v>
      </c>
      <c r="C8" s="5" t="s">
        <v>11</v>
      </c>
      <c r="D8" s="5" t="s">
        <v>9</v>
      </c>
      <c r="E8" s="3" t="s">
        <v>11</v>
      </c>
      <c r="F8" s="3" t="s">
        <v>7</v>
      </c>
    </row>
    <row r="9" spans="1:6" x14ac:dyDescent="0.35">
      <c r="A9" s="5">
        <v>8</v>
      </c>
      <c r="B9" s="6" t="s">
        <v>4</v>
      </c>
      <c r="C9" s="5" t="s">
        <v>5</v>
      </c>
      <c r="D9" s="5" t="s">
        <v>9</v>
      </c>
      <c r="E9" s="3" t="s">
        <v>8</v>
      </c>
      <c r="F9" s="3" t="s">
        <v>32</v>
      </c>
    </row>
    <row r="10" spans="1:6" x14ac:dyDescent="0.35">
      <c r="A10" s="5">
        <v>9</v>
      </c>
      <c r="B10" s="6" t="s">
        <v>4</v>
      </c>
      <c r="C10" s="5" t="s">
        <v>11</v>
      </c>
      <c r="D10" s="5" t="s">
        <v>10</v>
      </c>
      <c r="E10" s="3" t="s">
        <v>11</v>
      </c>
      <c r="F10" s="3" t="s">
        <v>32</v>
      </c>
    </row>
    <row r="11" spans="1:6" x14ac:dyDescent="0.35">
      <c r="A11" s="5">
        <v>10</v>
      </c>
      <c r="B11" s="6" t="s">
        <v>4</v>
      </c>
      <c r="C11" s="5" t="s">
        <v>8</v>
      </c>
      <c r="D11" s="5" t="s">
        <v>10</v>
      </c>
      <c r="E11" s="3" t="s">
        <v>8</v>
      </c>
      <c r="F11" s="3" t="s">
        <v>7</v>
      </c>
    </row>
    <row r="12" spans="1:6" x14ac:dyDescent="0.35">
      <c r="A12" s="5">
        <v>11</v>
      </c>
      <c r="B12" s="6" t="s">
        <v>4</v>
      </c>
      <c r="C12" s="5" t="s">
        <v>8</v>
      </c>
      <c r="D12" s="5" t="s">
        <v>9</v>
      </c>
      <c r="E12" s="3" t="s">
        <v>8</v>
      </c>
      <c r="F12" s="3" t="s">
        <v>7</v>
      </c>
    </row>
    <row r="13" spans="1:6" x14ac:dyDescent="0.35">
      <c r="A13" s="5">
        <v>12</v>
      </c>
      <c r="B13" s="6" t="s">
        <v>4</v>
      </c>
      <c r="C13" s="5" t="s">
        <v>5</v>
      </c>
      <c r="D13" s="5" t="s">
        <v>6</v>
      </c>
      <c r="E13" s="3" t="s">
        <v>5</v>
      </c>
      <c r="F13" s="3" t="s">
        <v>7</v>
      </c>
    </row>
    <row r="14" spans="1:6" x14ac:dyDescent="0.35">
      <c r="A14" s="5">
        <v>13</v>
      </c>
      <c r="B14" s="6" t="s">
        <v>4</v>
      </c>
      <c r="C14" s="5" t="s">
        <v>8</v>
      </c>
      <c r="D14" s="5" t="s">
        <v>9</v>
      </c>
      <c r="E14" s="3" t="s">
        <v>8</v>
      </c>
      <c r="F14" s="3" t="s">
        <v>7</v>
      </c>
    </row>
    <row r="15" spans="1:6" x14ac:dyDescent="0.35">
      <c r="A15" s="5">
        <v>14</v>
      </c>
      <c r="B15" s="6" t="s">
        <v>4</v>
      </c>
      <c r="C15" s="5" t="s">
        <v>8</v>
      </c>
      <c r="D15" s="5" t="s">
        <v>6</v>
      </c>
      <c r="E15" s="3" t="s">
        <v>8</v>
      </c>
      <c r="F15" s="3" t="s">
        <v>7</v>
      </c>
    </row>
    <row r="16" spans="1:6" x14ac:dyDescent="0.35">
      <c r="A16" s="5">
        <v>15</v>
      </c>
      <c r="B16" s="6" t="s">
        <v>4</v>
      </c>
      <c r="C16" s="5" t="s">
        <v>11</v>
      </c>
      <c r="D16" s="5" t="s">
        <v>9</v>
      </c>
      <c r="E16" s="3" t="s">
        <v>11</v>
      </c>
      <c r="F16" s="3" t="s">
        <v>7</v>
      </c>
    </row>
    <row r="17" spans="1:6" x14ac:dyDescent="0.35">
      <c r="A17" s="5">
        <v>16</v>
      </c>
      <c r="B17" s="6" t="s">
        <v>4</v>
      </c>
      <c r="C17" s="5" t="s">
        <v>5</v>
      </c>
      <c r="D17" s="5" t="s">
        <v>6</v>
      </c>
      <c r="E17" s="3" t="s">
        <v>5</v>
      </c>
      <c r="F17" s="3" t="s">
        <v>7</v>
      </c>
    </row>
    <row r="18" spans="1:6" x14ac:dyDescent="0.35">
      <c r="A18" s="5">
        <v>17</v>
      </c>
      <c r="B18" s="6" t="s">
        <v>4</v>
      </c>
      <c r="C18" s="5" t="s">
        <v>11</v>
      </c>
      <c r="D18" s="5" t="s">
        <v>10</v>
      </c>
      <c r="E18" s="3" t="s">
        <v>11</v>
      </c>
      <c r="F18" s="3" t="s">
        <v>7</v>
      </c>
    </row>
    <row r="19" spans="1:6" x14ac:dyDescent="0.35">
      <c r="A19" s="5">
        <v>18</v>
      </c>
      <c r="B19" s="6" t="s">
        <v>4</v>
      </c>
      <c r="C19" s="5" t="s">
        <v>8</v>
      </c>
      <c r="D19" s="5" t="s">
        <v>6</v>
      </c>
      <c r="E19" s="3" t="s">
        <v>8</v>
      </c>
      <c r="F19" s="3" t="s">
        <v>7</v>
      </c>
    </row>
    <row r="20" spans="1:6" x14ac:dyDescent="0.35">
      <c r="A20" s="5">
        <v>19</v>
      </c>
      <c r="B20" s="6" t="s">
        <v>4</v>
      </c>
      <c r="C20" s="5" t="s">
        <v>5</v>
      </c>
      <c r="D20" s="5" t="s">
        <v>10</v>
      </c>
      <c r="E20" s="3" t="s">
        <v>5</v>
      </c>
      <c r="F20" s="3" t="s">
        <v>7</v>
      </c>
    </row>
    <row r="21" spans="1:6" x14ac:dyDescent="0.35">
      <c r="A21" s="5">
        <v>20</v>
      </c>
      <c r="B21" s="6" t="s">
        <v>4</v>
      </c>
      <c r="C21" s="5" t="s">
        <v>11</v>
      </c>
      <c r="D21" s="5" t="s">
        <v>6</v>
      </c>
      <c r="E21" s="3" t="s">
        <v>11</v>
      </c>
      <c r="F21" s="3" t="s">
        <v>7</v>
      </c>
    </row>
    <row r="22" spans="1:6" x14ac:dyDescent="0.35">
      <c r="A22" s="5">
        <v>21</v>
      </c>
      <c r="B22" s="6" t="s">
        <v>4</v>
      </c>
      <c r="C22" s="5" t="s">
        <v>11</v>
      </c>
      <c r="D22" s="5" t="s">
        <v>6</v>
      </c>
      <c r="E22" s="3" t="s">
        <v>11</v>
      </c>
      <c r="F22" s="3" t="s">
        <v>7</v>
      </c>
    </row>
    <row r="23" spans="1:6" x14ac:dyDescent="0.35">
      <c r="A23" s="5">
        <v>22</v>
      </c>
      <c r="B23" s="6" t="s">
        <v>4</v>
      </c>
      <c r="C23" s="5" t="s">
        <v>5</v>
      </c>
      <c r="D23" s="5" t="s">
        <v>10</v>
      </c>
      <c r="E23" s="3" t="s">
        <v>5</v>
      </c>
      <c r="F23" s="3" t="s">
        <v>7</v>
      </c>
    </row>
    <row r="24" spans="1:6" x14ac:dyDescent="0.35">
      <c r="A24" s="5">
        <v>23</v>
      </c>
      <c r="B24" s="6" t="s">
        <v>4</v>
      </c>
      <c r="C24" s="5" t="s">
        <v>8</v>
      </c>
      <c r="D24" s="5" t="s">
        <v>10</v>
      </c>
      <c r="E24" s="3" t="s">
        <v>8</v>
      </c>
      <c r="F24" s="3" t="s">
        <v>7</v>
      </c>
    </row>
    <row r="25" spans="1:6" x14ac:dyDescent="0.35">
      <c r="A25" s="5">
        <v>24</v>
      </c>
      <c r="B25" s="6" t="s">
        <v>4</v>
      </c>
      <c r="C25" s="5" t="s">
        <v>5</v>
      </c>
      <c r="D25" s="5" t="s">
        <v>9</v>
      </c>
      <c r="E25" s="3" t="s">
        <v>5</v>
      </c>
      <c r="F25" s="3" t="s">
        <v>7</v>
      </c>
    </row>
    <row r="26" spans="1:6" x14ac:dyDescent="0.35">
      <c r="A26" s="5">
        <v>25</v>
      </c>
      <c r="B26" s="6" t="s">
        <v>4</v>
      </c>
      <c r="C26" s="5" t="s">
        <v>5</v>
      </c>
      <c r="D26" s="5" t="s">
        <v>9</v>
      </c>
      <c r="E26" s="3" t="s">
        <v>5</v>
      </c>
      <c r="F26" s="3" t="s">
        <v>7</v>
      </c>
    </row>
    <row r="27" spans="1:6" x14ac:dyDescent="0.35">
      <c r="A27" s="5">
        <v>26</v>
      </c>
      <c r="B27" s="6" t="s">
        <v>4</v>
      </c>
      <c r="C27" s="5" t="s">
        <v>5</v>
      </c>
      <c r="D27" s="5" t="s">
        <v>9</v>
      </c>
      <c r="E27" s="3" t="s">
        <v>5</v>
      </c>
      <c r="F27" s="3" t="s">
        <v>7</v>
      </c>
    </row>
    <row r="28" spans="1:6" x14ac:dyDescent="0.35">
      <c r="A28" s="5">
        <v>27</v>
      </c>
      <c r="B28" s="6" t="s">
        <v>4</v>
      </c>
      <c r="C28" s="5" t="s">
        <v>5</v>
      </c>
      <c r="D28" s="5" t="s">
        <v>10</v>
      </c>
      <c r="E28" s="3" t="s">
        <v>5</v>
      </c>
      <c r="F28" s="3" t="s">
        <v>7</v>
      </c>
    </row>
    <row r="29" spans="1:6" x14ac:dyDescent="0.35">
      <c r="A29" s="5">
        <v>28</v>
      </c>
      <c r="B29" s="6" t="s">
        <v>4</v>
      </c>
      <c r="C29" s="5" t="s">
        <v>5</v>
      </c>
      <c r="D29" s="5" t="s">
        <v>6</v>
      </c>
      <c r="E29" s="3" t="s">
        <v>5</v>
      </c>
      <c r="F29" s="3" t="s">
        <v>7</v>
      </c>
    </row>
    <row r="30" spans="1:6" x14ac:dyDescent="0.35">
      <c r="A30" s="5">
        <v>29</v>
      </c>
      <c r="B30" s="6" t="s">
        <v>4</v>
      </c>
      <c r="C30" s="5" t="s">
        <v>8</v>
      </c>
      <c r="D30" s="5" t="s">
        <v>9</v>
      </c>
      <c r="E30" s="3" t="s">
        <v>8</v>
      </c>
      <c r="F30" s="3" t="s">
        <v>7</v>
      </c>
    </row>
    <row r="31" spans="1:6" x14ac:dyDescent="0.35">
      <c r="A31" s="5">
        <v>30</v>
      </c>
      <c r="B31" s="6" t="s">
        <v>4</v>
      </c>
      <c r="C31" s="5" t="s">
        <v>11</v>
      </c>
      <c r="D31" s="5" t="s">
        <v>6</v>
      </c>
      <c r="E31" s="3" t="s">
        <v>11</v>
      </c>
      <c r="F31" s="3" t="s">
        <v>7</v>
      </c>
    </row>
    <row r="32" spans="1:6" x14ac:dyDescent="0.35">
      <c r="A32" s="5">
        <v>31</v>
      </c>
      <c r="B32" s="7" t="s">
        <v>12</v>
      </c>
      <c r="C32" s="5" t="s">
        <v>5</v>
      </c>
      <c r="D32" s="5" t="s">
        <v>6</v>
      </c>
      <c r="E32" s="3" t="s">
        <v>5</v>
      </c>
      <c r="F32" s="3" t="s">
        <v>7</v>
      </c>
    </row>
    <row r="33" spans="1:6" x14ac:dyDescent="0.35">
      <c r="A33" s="5">
        <v>32</v>
      </c>
      <c r="B33" s="7" t="s">
        <v>12</v>
      </c>
      <c r="C33" s="5" t="s">
        <v>11</v>
      </c>
      <c r="D33" s="5" t="s">
        <v>6</v>
      </c>
      <c r="E33" s="3" t="s">
        <v>11</v>
      </c>
      <c r="F33" s="3" t="s">
        <v>7</v>
      </c>
    </row>
    <row r="34" spans="1:6" x14ac:dyDescent="0.35">
      <c r="A34" s="5">
        <v>33</v>
      </c>
      <c r="B34" s="7" t="s">
        <v>12</v>
      </c>
      <c r="C34" s="5" t="s">
        <v>8</v>
      </c>
      <c r="D34" s="5" t="s">
        <v>10</v>
      </c>
      <c r="E34" s="3" t="s">
        <v>8</v>
      </c>
      <c r="F34" s="3" t="s">
        <v>7</v>
      </c>
    </row>
    <row r="35" spans="1:6" x14ac:dyDescent="0.35">
      <c r="A35" s="5">
        <v>34</v>
      </c>
      <c r="B35" s="7" t="s">
        <v>12</v>
      </c>
      <c r="C35" s="5" t="s">
        <v>8</v>
      </c>
      <c r="D35" s="5" t="s">
        <v>9</v>
      </c>
      <c r="E35" s="3" t="s">
        <v>8</v>
      </c>
      <c r="F35" s="3" t="s">
        <v>7</v>
      </c>
    </row>
    <row r="36" spans="1:6" x14ac:dyDescent="0.35">
      <c r="A36" s="5">
        <v>35</v>
      </c>
      <c r="B36" s="7" t="s">
        <v>12</v>
      </c>
      <c r="C36" s="5" t="s">
        <v>8</v>
      </c>
      <c r="D36" s="5" t="s">
        <v>6</v>
      </c>
      <c r="E36" s="3" t="s">
        <v>8</v>
      </c>
      <c r="F36" s="3" t="s">
        <v>7</v>
      </c>
    </row>
    <row r="37" spans="1:6" x14ac:dyDescent="0.35">
      <c r="A37" s="5">
        <v>36</v>
      </c>
      <c r="B37" s="7" t="s">
        <v>12</v>
      </c>
      <c r="C37" s="5" t="s">
        <v>5</v>
      </c>
      <c r="D37" s="5" t="s">
        <v>6</v>
      </c>
      <c r="E37" s="3" t="s">
        <v>5</v>
      </c>
      <c r="F37" s="3" t="s">
        <v>7</v>
      </c>
    </row>
    <row r="38" spans="1:6" x14ac:dyDescent="0.35">
      <c r="A38" s="5">
        <v>37</v>
      </c>
      <c r="B38" s="7" t="s">
        <v>12</v>
      </c>
      <c r="C38" s="5" t="s">
        <v>11</v>
      </c>
      <c r="D38" s="5" t="s">
        <v>10</v>
      </c>
      <c r="E38" s="3" t="s">
        <v>11</v>
      </c>
      <c r="F38" s="3" t="s">
        <v>7</v>
      </c>
    </row>
    <row r="39" spans="1:6" x14ac:dyDescent="0.35">
      <c r="A39" s="5">
        <v>38</v>
      </c>
      <c r="B39" s="7" t="s">
        <v>12</v>
      </c>
      <c r="C39" s="5" t="s">
        <v>11</v>
      </c>
      <c r="D39" s="5" t="s">
        <v>9</v>
      </c>
      <c r="E39" s="3" t="s">
        <v>11</v>
      </c>
      <c r="F39" s="3" t="s">
        <v>7</v>
      </c>
    </row>
    <row r="40" spans="1:6" x14ac:dyDescent="0.35">
      <c r="A40" s="5">
        <v>39</v>
      </c>
      <c r="B40" s="7" t="s">
        <v>12</v>
      </c>
      <c r="C40" s="5" t="s">
        <v>11</v>
      </c>
      <c r="D40" s="5" t="s">
        <v>10</v>
      </c>
      <c r="E40" s="3" t="s">
        <v>11</v>
      </c>
      <c r="F40" s="3" t="s">
        <v>7</v>
      </c>
    </row>
    <row r="41" spans="1:6" x14ac:dyDescent="0.35">
      <c r="A41" s="5">
        <v>40</v>
      </c>
      <c r="B41" s="7" t="s">
        <v>12</v>
      </c>
      <c r="C41" s="5" t="s">
        <v>5</v>
      </c>
      <c r="D41" s="5" t="s">
        <v>9</v>
      </c>
      <c r="E41" s="3" t="s">
        <v>5</v>
      </c>
      <c r="F41" s="3" t="s">
        <v>7</v>
      </c>
    </row>
    <row r="42" spans="1:6" x14ac:dyDescent="0.35">
      <c r="A42" s="5">
        <v>41</v>
      </c>
      <c r="B42" s="7" t="s">
        <v>12</v>
      </c>
      <c r="C42" s="5" t="s">
        <v>8</v>
      </c>
      <c r="D42" s="5" t="s">
        <v>10</v>
      </c>
      <c r="E42" s="3" t="s">
        <v>8</v>
      </c>
      <c r="F42" s="3" t="s">
        <v>7</v>
      </c>
    </row>
    <row r="43" spans="1:6" x14ac:dyDescent="0.35">
      <c r="A43" s="5">
        <v>42</v>
      </c>
      <c r="B43" s="7" t="s">
        <v>12</v>
      </c>
      <c r="C43" s="5" t="s">
        <v>11</v>
      </c>
      <c r="D43" s="5" t="s">
        <v>10</v>
      </c>
      <c r="E43" s="3" t="s">
        <v>8</v>
      </c>
      <c r="F43" s="3" t="s">
        <v>32</v>
      </c>
    </row>
    <row r="44" spans="1:6" x14ac:dyDescent="0.35">
      <c r="A44" s="5">
        <v>43</v>
      </c>
      <c r="B44" s="7" t="s">
        <v>12</v>
      </c>
      <c r="C44" s="5" t="s">
        <v>5</v>
      </c>
      <c r="D44" s="5" t="s">
        <v>10</v>
      </c>
      <c r="E44" s="3" t="s">
        <v>11</v>
      </c>
      <c r="F44" s="3" t="s">
        <v>32</v>
      </c>
    </row>
    <row r="45" spans="1:6" x14ac:dyDescent="0.35">
      <c r="A45" s="5">
        <v>44</v>
      </c>
      <c r="B45" s="7" t="s">
        <v>12</v>
      </c>
      <c r="C45" s="5" t="s">
        <v>11</v>
      </c>
      <c r="D45" s="5" t="s">
        <v>9</v>
      </c>
      <c r="E45" s="3" t="s">
        <v>11</v>
      </c>
      <c r="F45" s="3" t="s">
        <v>7</v>
      </c>
    </row>
    <row r="46" spans="1:6" x14ac:dyDescent="0.35">
      <c r="A46" s="5">
        <v>45</v>
      </c>
      <c r="B46" s="7" t="s">
        <v>12</v>
      </c>
      <c r="C46" s="5" t="s">
        <v>11</v>
      </c>
      <c r="D46" s="5" t="s">
        <v>9</v>
      </c>
      <c r="E46" s="3" t="s">
        <v>11</v>
      </c>
      <c r="F46" s="3" t="s">
        <v>7</v>
      </c>
    </row>
    <row r="47" spans="1:6" x14ac:dyDescent="0.35">
      <c r="A47" s="5">
        <v>46</v>
      </c>
      <c r="B47" s="7" t="s">
        <v>12</v>
      </c>
      <c r="C47" s="5" t="s">
        <v>11</v>
      </c>
      <c r="D47" s="5" t="s">
        <v>6</v>
      </c>
      <c r="E47" s="3" t="s">
        <v>11</v>
      </c>
      <c r="F47" s="3" t="s">
        <v>7</v>
      </c>
    </row>
    <row r="48" spans="1:6" x14ac:dyDescent="0.35">
      <c r="A48" s="5">
        <v>47</v>
      </c>
      <c r="B48" s="7" t="s">
        <v>12</v>
      </c>
      <c r="C48" s="5" t="s">
        <v>11</v>
      </c>
      <c r="D48" s="5" t="s">
        <v>9</v>
      </c>
      <c r="E48" s="3" t="s">
        <v>11</v>
      </c>
      <c r="F48" s="3" t="s">
        <v>7</v>
      </c>
    </row>
    <row r="49" spans="1:6" x14ac:dyDescent="0.35">
      <c r="A49" s="5">
        <v>48</v>
      </c>
      <c r="B49" s="7" t="s">
        <v>12</v>
      </c>
      <c r="C49" s="5" t="s">
        <v>5</v>
      </c>
      <c r="D49" s="5" t="s">
        <v>10</v>
      </c>
      <c r="E49" s="3" t="s">
        <v>5</v>
      </c>
      <c r="F49" s="3" t="s">
        <v>7</v>
      </c>
    </row>
    <row r="50" spans="1:6" x14ac:dyDescent="0.35">
      <c r="A50" s="5">
        <v>49</v>
      </c>
      <c r="B50" s="7" t="s">
        <v>12</v>
      </c>
      <c r="C50" s="5" t="s">
        <v>8</v>
      </c>
      <c r="D50" s="5" t="s">
        <v>6</v>
      </c>
      <c r="E50" s="3" t="s">
        <v>8</v>
      </c>
      <c r="F50" s="3" t="s">
        <v>7</v>
      </c>
    </row>
    <row r="51" spans="1:6" x14ac:dyDescent="0.35">
      <c r="A51" s="5">
        <v>50</v>
      </c>
      <c r="B51" s="7" t="s">
        <v>12</v>
      </c>
      <c r="C51" s="5" t="s">
        <v>8</v>
      </c>
      <c r="D51" s="5" t="s">
        <v>9</v>
      </c>
      <c r="E51" s="3" t="s">
        <v>8</v>
      </c>
      <c r="F51" s="3" t="s">
        <v>7</v>
      </c>
    </row>
    <row r="52" spans="1:6" x14ac:dyDescent="0.35">
      <c r="A52" s="5">
        <v>51</v>
      </c>
      <c r="B52" s="7" t="s">
        <v>12</v>
      </c>
      <c r="C52" s="5" t="s">
        <v>11</v>
      </c>
      <c r="D52" s="5" t="s">
        <v>6</v>
      </c>
      <c r="E52" s="3" t="s">
        <v>11</v>
      </c>
      <c r="F52" s="3" t="s">
        <v>7</v>
      </c>
    </row>
    <row r="53" spans="1:6" x14ac:dyDescent="0.35">
      <c r="A53" s="5">
        <v>52</v>
      </c>
      <c r="B53" s="7" t="s">
        <v>12</v>
      </c>
      <c r="C53" s="5" t="s">
        <v>8</v>
      </c>
      <c r="D53" s="5" t="s">
        <v>10</v>
      </c>
      <c r="E53" s="3" t="s">
        <v>8</v>
      </c>
      <c r="F53" s="3" t="s">
        <v>7</v>
      </c>
    </row>
    <row r="54" spans="1:6" x14ac:dyDescent="0.35">
      <c r="A54" s="5">
        <v>53</v>
      </c>
      <c r="B54" s="7" t="s">
        <v>12</v>
      </c>
      <c r="C54" s="5" t="s">
        <v>8</v>
      </c>
      <c r="D54" s="5" t="s">
        <v>9</v>
      </c>
      <c r="E54" s="3" t="s">
        <v>8</v>
      </c>
      <c r="F54" s="3" t="s">
        <v>7</v>
      </c>
    </row>
    <row r="55" spans="1:6" x14ac:dyDescent="0.35">
      <c r="A55" s="5">
        <v>54</v>
      </c>
      <c r="B55" s="7" t="s">
        <v>12</v>
      </c>
      <c r="C55" s="5" t="s">
        <v>5</v>
      </c>
      <c r="D55" s="5" t="s">
        <v>9</v>
      </c>
      <c r="E55" s="3" t="s">
        <v>5</v>
      </c>
      <c r="F55" s="3" t="s">
        <v>7</v>
      </c>
    </row>
    <row r="56" spans="1:6" x14ac:dyDescent="0.35">
      <c r="A56" s="5">
        <v>55</v>
      </c>
      <c r="B56" s="7" t="s">
        <v>12</v>
      </c>
      <c r="C56" s="5" t="s">
        <v>5</v>
      </c>
      <c r="D56" s="5" t="s">
        <v>10</v>
      </c>
      <c r="E56" s="3" t="s">
        <v>11</v>
      </c>
      <c r="F56" s="3" t="s">
        <v>32</v>
      </c>
    </row>
    <row r="57" spans="1:6" x14ac:dyDescent="0.35">
      <c r="A57" s="5">
        <v>56</v>
      </c>
      <c r="B57" s="7" t="s">
        <v>12</v>
      </c>
      <c r="C57" s="5" t="s">
        <v>5</v>
      </c>
      <c r="D57" s="5" t="s">
        <v>9</v>
      </c>
      <c r="E57" s="3" t="s">
        <v>5</v>
      </c>
      <c r="F57" s="3" t="s">
        <v>7</v>
      </c>
    </row>
    <row r="58" spans="1:6" x14ac:dyDescent="0.35">
      <c r="A58" s="5">
        <v>57</v>
      </c>
      <c r="B58" s="7" t="s">
        <v>12</v>
      </c>
      <c r="C58" s="5" t="s">
        <v>8</v>
      </c>
      <c r="D58" s="5" t="s">
        <v>9</v>
      </c>
      <c r="E58" s="3" t="s">
        <v>8</v>
      </c>
      <c r="F58" s="3" t="s">
        <v>7</v>
      </c>
    </row>
    <row r="59" spans="1:6" x14ac:dyDescent="0.35">
      <c r="A59" s="5">
        <v>58</v>
      </c>
      <c r="B59" s="7" t="s">
        <v>12</v>
      </c>
      <c r="C59" s="5" t="s">
        <v>8</v>
      </c>
      <c r="D59" s="5" t="s">
        <v>6</v>
      </c>
      <c r="E59" s="3" t="s">
        <v>8</v>
      </c>
      <c r="F59" s="3" t="s">
        <v>7</v>
      </c>
    </row>
    <row r="60" spans="1:6" x14ac:dyDescent="0.35">
      <c r="A60" s="5">
        <v>59</v>
      </c>
      <c r="B60" s="7" t="s">
        <v>12</v>
      </c>
      <c r="C60" s="5" t="s">
        <v>5</v>
      </c>
      <c r="D60" s="5" t="s">
        <v>9</v>
      </c>
      <c r="E60" s="3" t="s">
        <v>5</v>
      </c>
      <c r="F60" s="3" t="s">
        <v>7</v>
      </c>
    </row>
    <row r="61" spans="1:6" x14ac:dyDescent="0.35">
      <c r="A61" s="5">
        <v>60</v>
      </c>
      <c r="B61" s="7" t="s">
        <v>12</v>
      </c>
      <c r="C61" s="5" t="s">
        <v>5</v>
      </c>
      <c r="D61" s="5" t="s">
        <v>6</v>
      </c>
      <c r="E61" s="3" t="s">
        <v>5</v>
      </c>
      <c r="F61" s="3" t="s">
        <v>7</v>
      </c>
    </row>
  </sheetData>
  <conditionalFormatting sqref="F2:F61">
    <cfRule type="expression" dxfId="1" priority="2">
      <formula>F2="Y"</formula>
    </cfRule>
    <cfRule type="expression" dxfId="0" priority="3">
      <formula>F2="N"</formula>
    </cfRule>
  </conditionalFormatting>
  <dataValidations count="2">
    <dataValidation type="list" allowBlank="1" sqref="E6:E61" xr:uid="{00000000-0002-0000-0000-000000000000}">
      <formula1>"Bottom,Middle,Top,None"</formula1>
      <formula2>0</formula2>
    </dataValidation>
    <dataValidation type="list" allowBlank="1" sqref="F3:F61" xr:uid="{00000000-0002-0000-00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3" customWidth="1"/>
    <col min="3" max="6" width="12" customWidth="1"/>
    <col min="7" max="7" width="13" customWidth="1"/>
    <col min="8" max="8" width="14" customWidth="1"/>
  </cols>
  <sheetData>
    <row r="1" spans="1:8" ht="18" x14ac:dyDescent="0.4">
      <c r="A1" s="1" t="s">
        <v>13</v>
      </c>
    </row>
    <row r="2" spans="1:8" x14ac:dyDescent="0.35">
      <c r="A2" s="4" t="s">
        <v>14</v>
      </c>
    </row>
    <row r="4" spans="1:8" x14ac:dyDescent="0.35">
      <c r="A4" s="2" t="s">
        <v>15</v>
      </c>
    </row>
    <row r="5" spans="1:8" x14ac:dyDescent="0.35">
      <c r="A5" s="8" t="s">
        <v>2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</row>
    <row r="6" spans="1:8" x14ac:dyDescent="0.35">
      <c r="A6" s="5" t="s">
        <v>4</v>
      </c>
      <c r="B6" s="5">
        <f>COUNTIFS('Live Test'!$B$2:$B$61,"Horizontal",'Live Test'!$F$2:$F$61,"&lt;&gt;")</f>
        <v>29</v>
      </c>
      <c r="C6" s="5">
        <f>COUNTIFS('Live Test'!$B$2:$B$61,"Horizontal",'Live Test'!$F$2:$F$61,"Y")</f>
        <v>27</v>
      </c>
      <c r="D6" s="9">
        <f>IF(B6=0,"",C6/B6)</f>
        <v>0.93103448275862066</v>
      </c>
      <c r="E6" s="9">
        <f>IF(B6=0,"",((C6+1.96^2/2)/(B6+1.96^2))-1.96*SQRT(C6*(B6-C6)/B6+1.96^2/4)/(B6+1.96^2))</f>
        <v>0.78035052404148075</v>
      </c>
      <c r="F6" s="9">
        <f>IF(B6=0,"",((C6+1.96^2/2)/(B6+1.96^2))+1.96*SQRT(C6*(B6-C6)/B6+1.96^2/4)/(B6+1.96^2))</f>
        <v>0.98087913590200548</v>
      </c>
      <c r="G6" s="5" t="e">
        <f>'Live Test'!#REF!</f>
        <v>#REF!</v>
      </c>
      <c r="H6" s="9" t="e">
        <f>IF(B6+G6=0,"",B6/(B6+G6))</f>
        <v>#REF!</v>
      </c>
    </row>
    <row r="7" spans="1:8" x14ac:dyDescent="0.35">
      <c r="A7" s="5" t="s">
        <v>12</v>
      </c>
      <c r="B7" s="5">
        <f>COUNTIFS('Live Test'!$B$2:$B$61,"Vertical",'Live Test'!$F$2:$F$61,"&lt;&gt;")</f>
        <v>30</v>
      </c>
      <c r="C7" s="5">
        <f>COUNTIFS('Live Test'!$B$2:$B$61,"Vertical",'Live Test'!$F$2:$F$61,"Y")</f>
        <v>27</v>
      </c>
      <c r="D7" s="9">
        <f>IF(B7=0,"",C7/B7)</f>
        <v>0.9</v>
      </c>
      <c r="E7" s="9">
        <f>IF(B7=0,"",((C7+1.96^2/2)/(B7+1.96^2))-1.96*SQRT(C7*(B7-C7)/B7+1.96^2/4)/(B7+1.96^2))</f>
        <v>0.74378558684733376</v>
      </c>
      <c r="F7" s="9">
        <f>IF(B7=0,"",((C7+1.96^2/2)/(B7+1.96^2))+1.96*SQRT(C7*(B7-C7)/B7+1.96^2/4)/(B7+1.96^2))</f>
        <v>0.96540074004028376</v>
      </c>
      <c r="G7" s="5" t="e">
        <f>'Live Test'!#REF!</f>
        <v>#REF!</v>
      </c>
      <c r="H7" s="9" t="e">
        <f>IF(B7+G7=0,"",B7/(B7+G7))</f>
        <v>#REF!</v>
      </c>
    </row>
    <row r="8" spans="1:8" x14ac:dyDescent="0.35">
      <c r="A8" s="10" t="s">
        <v>23</v>
      </c>
      <c r="B8" s="10">
        <f>B6+B7</f>
        <v>59</v>
      </c>
      <c r="C8" s="10">
        <f>C6+C7</f>
        <v>54</v>
      </c>
      <c r="D8" s="11">
        <f>IF(B8=0,"",C8/B8)</f>
        <v>0.9152542372881356</v>
      </c>
      <c r="E8" s="9">
        <f>IF(B8=0,"",((C8+1.96^2/2)/(B8+1.96^2))-1.96*SQRT(C8*(B8-C8)/B8+1.96^2/4)/(B8+1.96^2))</f>
        <v>0.81647975385839444</v>
      </c>
      <c r="F8" s="9">
        <f>IF(B8=0,"",((C8+1.96^2/2)/(B8+1.96^2))+1.96*SQRT(C8*(B8-C8)/B8+1.96^2/4)/(B8+1.96^2))</f>
        <v>0.96325850869380025</v>
      </c>
      <c r="G8" s="5" t="e">
        <f>G6+G7</f>
        <v>#REF!</v>
      </c>
      <c r="H8" s="9" t="e">
        <f>IF(B8+G8=0,"",B8/(B8+G8))</f>
        <v>#REF!</v>
      </c>
    </row>
    <row r="10" spans="1:8" x14ac:dyDescent="0.35">
      <c r="A10" s="2" t="s">
        <v>24</v>
      </c>
    </row>
    <row r="11" spans="1:8" x14ac:dyDescent="0.35">
      <c r="A11" s="8" t="s">
        <v>25</v>
      </c>
      <c r="B11" s="8" t="s">
        <v>4</v>
      </c>
      <c r="C11" s="8" t="s">
        <v>12</v>
      </c>
      <c r="D11" s="8" t="s">
        <v>23</v>
      </c>
    </row>
    <row r="12" spans="1:8" x14ac:dyDescent="0.35">
      <c r="A12" s="5" t="s">
        <v>8</v>
      </c>
      <c r="B12" s="9">
        <f>IFERROR(COUNTIFS('Live Test'!$B$2:$B$61,"Horizontal",'Live Test'!$C$2:$C$61,$A12,'Live Test'!$F$2:$F$61,"Y")/COUNTIFS('Live Test'!$B$2:$B$61,"Horizontal",'Live Test'!$C$2:$C$61,$A12,'Live Test'!$F$2:$F$61,"&lt;&gt;"),"")</f>
        <v>1</v>
      </c>
      <c r="C12" s="9">
        <f>IFERROR(COUNTIFS('Live Test'!$B$2:$B$61,"Vertical",'Live Test'!$C$2:$C$61,$A12,'Live Test'!$F$2:$F$61,"Y")/COUNTIFS('Live Test'!$B$2:$B$61,"Vertical",'Live Test'!$C$2:$C$61,$A12,'Live Test'!$F$2:$F$61,"&lt;&gt;"),"")</f>
        <v>1</v>
      </c>
      <c r="D12" s="9">
        <f>IFERROR(COUNTIFS('Live Test'!$C$2:$C$61,$A12,'Live Test'!$F$2:$F$61,"Y")/COUNTIFS('Live Test'!$C$2:$C$61,$A12,'Live Test'!$F$2:$F$61,"&lt;&gt;"),"")</f>
        <v>1</v>
      </c>
    </row>
    <row r="13" spans="1:8" x14ac:dyDescent="0.35">
      <c r="A13" s="5" t="s">
        <v>11</v>
      </c>
      <c r="B13" s="9">
        <f>IFERROR(COUNTIFS('Live Test'!$B$2:$B$61,"Horizontal",'Live Test'!$C$2:$C$61,$A13,'Live Test'!$F$2:$F$61,"Y")/COUNTIFS('Live Test'!$B$2:$B$61,"Horizontal",'Live Test'!$C$2:$C$61,$A13,'Live Test'!$F$2:$F$61,"&lt;&gt;"),"")</f>
        <v>0.88888888888888884</v>
      </c>
      <c r="C13" s="9">
        <f>IFERROR(COUNTIFS('Live Test'!$B$2:$B$61,"Vertical",'Live Test'!$C$2:$C$61,$A13,'Live Test'!$F$2:$F$61,"Y")/COUNTIFS('Live Test'!$B$2:$B$61,"Vertical",'Live Test'!$C$2:$C$61,$A13,'Live Test'!$F$2:$F$61,"&lt;&gt;"),"")</f>
        <v>0.9</v>
      </c>
      <c r="D13" s="9">
        <f>IFERROR(COUNTIFS('Live Test'!$C$2:$C$61,$A13,'Live Test'!$F$2:$F$61,"Y")/COUNTIFS('Live Test'!$C$2:$C$61,$A13,'Live Test'!$F$2:$F$61,"&lt;&gt;"),"")</f>
        <v>0.89473684210526316</v>
      </c>
    </row>
    <row r="14" spans="1:8" x14ac:dyDescent="0.35">
      <c r="A14" s="5" t="s">
        <v>5</v>
      </c>
      <c r="B14" s="9">
        <f>IFERROR(COUNTIFS('Live Test'!$B$2:$B$61,"Horizontal",'Live Test'!$C$2:$C$61,$A14,'Live Test'!$F$2:$F$61,"Y")/COUNTIFS('Live Test'!$B$2:$B$61,"Horizontal",'Live Test'!$C$2:$C$61,$A14,'Live Test'!$F$2:$F$61,"&lt;&gt;"),"")</f>
        <v>0.90909090909090906</v>
      </c>
      <c r="C14" s="9">
        <f>IFERROR(COUNTIFS('Live Test'!$B$2:$B$61,"Vertical",'Live Test'!$C$2:$C$61,$A14,'Live Test'!$F$2:$F$61,"Y")/COUNTIFS('Live Test'!$B$2:$B$61,"Vertical",'Live Test'!$C$2:$C$61,$A14,'Live Test'!$F$2:$F$61,"&lt;&gt;"),"")</f>
        <v>0.8</v>
      </c>
      <c r="D14" s="9">
        <f>IFERROR(COUNTIFS('Live Test'!$C$2:$C$61,$A14,'Live Test'!$F$2:$F$61,"Y")/COUNTIFS('Live Test'!$C$2:$C$61,$A14,'Live Test'!$F$2:$F$61,"&lt;&gt;"),"")</f>
        <v>0.8571428571428571</v>
      </c>
    </row>
    <row r="16" spans="1:8" x14ac:dyDescent="0.35">
      <c r="A16" s="2" t="s">
        <v>26</v>
      </c>
    </row>
    <row r="17" spans="1:5" x14ac:dyDescent="0.35">
      <c r="A17" s="8" t="s">
        <v>3</v>
      </c>
      <c r="B17" s="8" t="s">
        <v>16</v>
      </c>
      <c r="C17" s="8" t="s">
        <v>17</v>
      </c>
      <c r="D17" s="8" t="s">
        <v>18</v>
      </c>
    </row>
    <row r="18" spans="1:5" x14ac:dyDescent="0.35">
      <c r="A18" s="5" t="s">
        <v>10</v>
      </c>
      <c r="B18" s="5">
        <f>COUNTIFS('Live Test'!$D$2:$D$61,A18,'Live Test'!$F$2:$F$61,"&lt;&gt;")</f>
        <v>19</v>
      </c>
      <c r="C18" s="5">
        <f>COUNTIFS('Live Test'!$D$2:$D$61,A18,'Live Test'!$F$2:$F$61,"Y")</f>
        <v>15</v>
      </c>
      <c r="D18" s="9">
        <f>IF(B18=0,"",C18/B18)</f>
        <v>0.78947368421052633</v>
      </c>
    </row>
    <row r="19" spans="1:5" x14ac:dyDescent="0.35">
      <c r="A19" s="5" t="s">
        <v>9</v>
      </c>
      <c r="B19" s="5">
        <f>COUNTIFS('Live Test'!$D$2:$D$61,A19,'Live Test'!$F$2:$F$61,"&lt;&gt;")</f>
        <v>23</v>
      </c>
      <c r="C19" s="5">
        <f>COUNTIFS('Live Test'!$D$2:$D$61,A19,'Live Test'!$F$2:$F$61,"Y")</f>
        <v>22</v>
      </c>
      <c r="D19" s="9">
        <f>IF(B19=0,"",C19/B19)</f>
        <v>0.95652173913043481</v>
      </c>
    </row>
    <row r="20" spans="1:5" x14ac:dyDescent="0.35">
      <c r="A20" s="5" t="s">
        <v>6</v>
      </c>
      <c r="B20" s="5">
        <f>COUNTIFS('Live Test'!$D$2:$D$61,A20,'Live Test'!$F$2:$F$61,"&lt;&gt;")</f>
        <v>17</v>
      </c>
      <c r="C20" s="5">
        <f>COUNTIFS('Live Test'!$D$2:$D$61,A20,'Live Test'!$F$2:$F$61,"Y")</f>
        <v>17</v>
      </c>
      <c r="D20" s="9">
        <f>IF(B20=0,"",C20/B20)</f>
        <v>1</v>
      </c>
    </row>
    <row r="22" spans="1:5" x14ac:dyDescent="0.35">
      <c r="A22" s="2" t="s">
        <v>27</v>
      </c>
    </row>
    <row r="23" spans="1:5" x14ac:dyDescent="0.35">
      <c r="A23" s="8" t="s">
        <v>28</v>
      </c>
      <c r="B23" s="8" t="s">
        <v>8</v>
      </c>
      <c r="C23" s="8" t="s">
        <v>11</v>
      </c>
      <c r="D23" s="8" t="s">
        <v>5</v>
      </c>
      <c r="E23" s="8" t="s">
        <v>29</v>
      </c>
    </row>
    <row r="24" spans="1:5" x14ac:dyDescent="0.35">
      <c r="A24" s="10" t="s">
        <v>8</v>
      </c>
      <c r="B24" s="5">
        <f>COUNTIFS('Live Test'!$B$2:$B$61,"Horizontal",'Live Test'!$C$2:$C$61,$A24,'Live Test'!$E$2:$E$61,"Bottom")</f>
        <v>9</v>
      </c>
      <c r="C24" s="5">
        <f>COUNTIFS('Live Test'!$B$2:$B$61,"Horizontal",'Live Test'!$C$2:$C$61,$A24,'Live Test'!$E$2:$E$61,"Middle")</f>
        <v>0</v>
      </c>
      <c r="D24" s="5">
        <f>COUNTIFS('Live Test'!$B$2:$B$61,"Horizontal",'Live Test'!$C$2:$C$61,$A24,'Live Test'!$E$2:$E$61,"Top")</f>
        <v>0</v>
      </c>
      <c r="E24" s="5">
        <f>COUNTIFS('Live Test'!$B$2:$B$61,"Horizontal",'Live Test'!$C$2:$C$61,$A24,'Live Test'!$E$2:$E$61,"None")</f>
        <v>0</v>
      </c>
    </row>
    <row r="25" spans="1:5" x14ac:dyDescent="0.35">
      <c r="A25" s="10" t="s">
        <v>11</v>
      </c>
      <c r="B25" s="5">
        <f>COUNTIFS('Live Test'!$B$2:$B$61,"Horizontal",'Live Test'!$C$2:$C$61,$A25,'Live Test'!$E$2:$E$61,"Bottom")</f>
        <v>0</v>
      </c>
      <c r="C25" s="5">
        <f>COUNTIFS('Live Test'!$B$2:$B$61,"Horizontal",'Live Test'!$C$2:$C$61,$A25,'Live Test'!$E$2:$E$61,"Middle")</f>
        <v>9</v>
      </c>
      <c r="D25" s="5">
        <f>COUNTIFS('Live Test'!$B$2:$B$61,"Horizontal",'Live Test'!$C$2:$C$61,$A25,'Live Test'!$E$2:$E$61,"Top")</f>
        <v>0</v>
      </c>
      <c r="E25" s="5">
        <f>COUNTIFS('Live Test'!$B$2:$B$61,"Horizontal",'Live Test'!$C$2:$C$61,$A25,'Live Test'!$E$2:$E$61,"None")</f>
        <v>0</v>
      </c>
    </row>
    <row r="26" spans="1:5" x14ac:dyDescent="0.35">
      <c r="A26" s="10" t="s">
        <v>5</v>
      </c>
      <c r="B26" s="5">
        <f>COUNTIFS('Live Test'!$B$2:$B$61,"Horizontal",'Live Test'!$C$2:$C$61,$A26,'Live Test'!$E$2:$E$61,"Bottom")</f>
        <v>1</v>
      </c>
      <c r="C26" s="5">
        <f>COUNTIFS('Live Test'!$B$2:$B$61,"Horizontal",'Live Test'!$C$2:$C$61,$A26,'Live Test'!$E$2:$E$61,"Middle")</f>
        <v>0</v>
      </c>
      <c r="D26" s="5">
        <f>COUNTIFS('Live Test'!$B$2:$B$61,"Horizontal",'Live Test'!$C$2:$C$61,$A26,'Live Test'!$E$2:$E$61,"Top")</f>
        <v>10</v>
      </c>
      <c r="E26" s="5">
        <f>COUNTIFS('Live Test'!$B$2:$B$61,"Horizontal",'Live Test'!$C$2:$C$61,$A26,'Live Test'!$E$2:$E$61,"None")</f>
        <v>0</v>
      </c>
    </row>
    <row r="28" spans="1:5" x14ac:dyDescent="0.35">
      <c r="A28" s="2" t="s">
        <v>30</v>
      </c>
    </row>
    <row r="29" spans="1:5" x14ac:dyDescent="0.35">
      <c r="A29" s="8" t="s">
        <v>28</v>
      </c>
      <c r="B29" s="8" t="s">
        <v>8</v>
      </c>
      <c r="C29" s="8" t="s">
        <v>11</v>
      </c>
      <c r="D29" s="8" t="s">
        <v>5</v>
      </c>
      <c r="E29" s="8" t="s">
        <v>29</v>
      </c>
    </row>
    <row r="30" spans="1:5" x14ac:dyDescent="0.35">
      <c r="A30" s="10" t="s">
        <v>8</v>
      </c>
      <c r="B30" s="5">
        <f>COUNTIFS('Live Test'!$B$2:$B$61,"Vertical",'Live Test'!$C$2:$C$61,$A30,'Live Test'!$E$2:$E$61,"Bottom")</f>
        <v>10</v>
      </c>
      <c r="C30" s="5">
        <f>COUNTIFS('Live Test'!$B$2:$B$61,"Vertical",'Live Test'!$C$2:$C$61,$A30,'Live Test'!$E$2:$E$61,"Middle")</f>
        <v>0</v>
      </c>
      <c r="D30" s="5">
        <f>COUNTIFS('Live Test'!$B$2:$B$61,"Vertical",'Live Test'!$C$2:$C$61,$A30,'Live Test'!$E$2:$E$61,"Top")</f>
        <v>0</v>
      </c>
      <c r="E30" s="5">
        <f>COUNTIFS('Live Test'!$B$2:$B$61,"Vertical",'Live Test'!$C$2:$C$61,$A30,'Live Test'!$E$2:$E$61,"None")</f>
        <v>0</v>
      </c>
    </row>
    <row r="31" spans="1:5" x14ac:dyDescent="0.35">
      <c r="A31" s="10" t="s">
        <v>11</v>
      </c>
      <c r="B31" s="5">
        <f>COUNTIFS('Live Test'!$B$2:$B$61,"Vertical",'Live Test'!$C$2:$C$61,$A31,'Live Test'!$E$2:$E$61,"Bottom")</f>
        <v>1</v>
      </c>
      <c r="C31" s="5">
        <f>COUNTIFS('Live Test'!$B$2:$B$61,"Vertical",'Live Test'!$C$2:$C$61,$A31,'Live Test'!$E$2:$E$61,"Middle")</f>
        <v>9</v>
      </c>
      <c r="D31" s="5">
        <f>COUNTIFS('Live Test'!$B$2:$B$61,"Vertical",'Live Test'!$C$2:$C$61,$A31,'Live Test'!$E$2:$E$61,"Top")</f>
        <v>0</v>
      </c>
      <c r="E31" s="5">
        <f>COUNTIFS('Live Test'!$B$2:$B$61,"Vertical",'Live Test'!$C$2:$C$61,$A31,'Live Test'!$E$2:$E$61,"None")</f>
        <v>0</v>
      </c>
    </row>
    <row r="32" spans="1:5" x14ac:dyDescent="0.35">
      <c r="A32" s="10" t="s">
        <v>5</v>
      </c>
      <c r="B32" s="5">
        <f>COUNTIFS('Live Test'!$B$2:$B$61,"Vertical",'Live Test'!$C$2:$C$61,$A32,'Live Test'!$E$2:$E$61,"Bottom")</f>
        <v>0</v>
      </c>
      <c r="C32" s="5">
        <f>COUNTIFS('Live Test'!$B$2:$B$61,"Vertical",'Live Test'!$C$2:$C$61,$A32,'Live Test'!$E$2:$E$61,"Middle")</f>
        <v>2</v>
      </c>
      <c r="D32" s="5">
        <f>COUNTIFS('Live Test'!$B$2:$B$61,"Vertical",'Live Test'!$C$2:$C$61,$A32,'Live Test'!$E$2:$E$61,"Top")</f>
        <v>8</v>
      </c>
      <c r="E32" s="5">
        <f>COUNTIFS('Live Test'!$B$2:$B$61,"Vertical",'Live Test'!$C$2:$C$61,$A32,'Live Test'!$E$2:$E$61,"None")</f>
        <v>0</v>
      </c>
    </row>
    <row r="34" spans="1:2" x14ac:dyDescent="0.35">
      <c r="A34" s="2" t="s">
        <v>31</v>
      </c>
      <c r="B34" s="5" t="e">
        <f>COUNTIF('Live Test'!#REF!,"check")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 Test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Cayla Jacobs</cp:lastModifiedBy>
  <cp:revision>0</cp:revision>
  <cp:lastPrinted>2026-10-10T07:30:43Z</cp:lastPrinted>
  <dcterms:created xsi:type="dcterms:W3CDTF">2026-10-09T11:54:04Z</dcterms:created>
  <dcterms:modified xsi:type="dcterms:W3CDTF">2026-10-10T07:30:49Z</dcterms:modified>
  <dc:language>en-US</dc:language>
</cp:coreProperties>
</file>